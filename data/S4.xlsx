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0a30bd1591a3d5/Desktop/E542/"/>
    </mc:Choice>
  </mc:AlternateContent>
  <xr:revisionPtr revIDLastSave="123" documentId="13_ncr:1_{0C8656C2-7E87-4062-9A4E-B40F66CD7CF2}" xr6:coauthVersionLast="47" xr6:coauthVersionMax="47" xr10:uidLastSave="{C1AE3CC9-1B77-49D3-BB87-22BA086A2603}"/>
  <bookViews>
    <workbookView xWindow="-108" yWindow="-108" windowWidth="23256" windowHeight="12456" firstSheet="2" activeTab="5" xr2:uid="{CA2DA8B3-1381-48EA-A7F9-E85529E3EDE8}"/>
  </bookViews>
  <sheets>
    <sheet name="Protocol" sheetId="2" r:id="rId1"/>
    <sheet name="SamplingAndAdditions" sheetId="1" r:id="rId2"/>
    <sheet name="FermentorMeasurements" sheetId="3" r:id="rId3"/>
    <sheet name="OffgasAnalysis" sheetId="4" r:id="rId4"/>
    <sheet name="MediumAnalysis" sheetId="5" r:id="rId5"/>
    <sheet name="Medium_integrals" sheetId="6" r:id="rId6"/>
    <sheet name="Medium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4" i="5" l="1"/>
  <c r="X35" i="5" s="1"/>
  <c r="BE5" i="5" s="1"/>
  <c r="F27" i="1"/>
  <c r="F25" i="1"/>
  <c r="F22" i="1"/>
  <c r="F19" i="1"/>
  <c r="F18" i="1"/>
  <c r="F17" i="1"/>
  <c r="F16" i="1"/>
  <c r="F15" i="1"/>
  <c r="F14" i="1"/>
  <c r="F12" i="1"/>
  <c r="F11" i="1"/>
  <c r="F10" i="1"/>
  <c r="F6" i="1"/>
  <c r="AN30" i="5" l="1"/>
  <c r="AN14" i="5"/>
  <c r="BH30" i="5"/>
  <c r="BG29" i="5"/>
  <c r="AQ29" i="5"/>
  <c r="AZ28" i="5"/>
  <c r="BI27" i="5"/>
  <c r="BB26" i="5"/>
  <c r="BK25" i="5"/>
  <c r="AU25" i="5"/>
  <c r="BD24" i="5"/>
  <c r="BM23" i="5"/>
  <c r="AW23" i="5"/>
  <c r="BF22" i="5"/>
  <c r="AP22" i="5"/>
  <c r="AY21" i="5"/>
  <c r="BG20" i="5"/>
  <c r="BD19" i="5"/>
  <c r="BD17" i="5"/>
  <c r="AT14" i="5"/>
  <c r="BH10" i="5"/>
  <c r="AX7" i="5"/>
  <c r="AN28" i="5"/>
  <c r="AN20" i="5"/>
  <c r="AN12" i="5"/>
  <c r="AN4" i="5"/>
  <c r="BF30" i="5"/>
  <c r="AT30" i="5"/>
  <c r="BC29" i="5"/>
  <c r="BL28" i="5"/>
  <c r="AV28" i="5"/>
  <c r="BE27" i="5"/>
  <c r="AO27" i="5"/>
  <c r="AX26" i="5"/>
  <c r="BG25" i="5"/>
  <c r="AQ25" i="5"/>
  <c r="AZ24" i="5"/>
  <c r="BI23" i="5"/>
  <c r="AS23" i="5"/>
  <c r="BB22" i="5"/>
  <c r="BK21" i="5"/>
  <c r="AU21" i="5"/>
  <c r="BA20" i="5"/>
  <c r="AV19" i="5"/>
  <c r="BH16" i="5"/>
  <c r="AW13" i="5"/>
  <c r="BL9" i="5"/>
  <c r="BB6" i="5"/>
  <c r="AN22" i="5"/>
  <c r="AN6" i="5"/>
  <c r="AX30" i="5"/>
  <c r="AS27" i="5"/>
  <c r="AN26" i="5"/>
  <c r="AN18" i="5"/>
  <c r="AN10" i="5"/>
  <c r="BL30" i="5"/>
  <c r="BD30" i="5"/>
  <c r="AP30" i="5"/>
  <c r="AY29" i="5"/>
  <c r="BH28" i="5"/>
  <c r="AR28" i="5"/>
  <c r="BA27" i="5"/>
  <c r="BJ26" i="5"/>
  <c r="AT26" i="5"/>
  <c r="BC25" i="5"/>
  <c r="BL24" i="5"/>
  <c r="AV24" i="5"/>
  <c r="BE23" i="5"/>
  <c r="AO23" i="5"/>
  <c r="AX22" i="5"/>
  <c r="BG21" i="5"/>
  <c r="AQ21" i="5"/>
  <c r="AU20" i="5"/>
  <c r="BK18" i="5"/>
  <c r="BK15" i="5"/>
  <c r="BA12" i="5"/>
  <c r="AQ9" i="5"/>
  <c r="AQ4" i="5"/>
  <c r="AU4" i="5"/>
  <c r="AY4" i="5"/>
  <c r="BC4" i="5"/>
  <c r="BG4" i="5"/>
  <c r="BK4" i="5"/>
  <c r="AP5" i="5"/>
  <c r="AT5" i="5"/>
  <c r="AX5" i="5"/>
  <c r="BB5" i="5"/>
  <c r="BF5" i="5"/>
  <c r="BJ5" i="5"/>
  <c r="AO6" i="5"/>
  <c r="AS6" i="5"/>
  <c r="AW6" i="5"/>
  <c r="BA6" i="5"/>
  <c r="BE6" i="5"/>
  <c r="BI6" i="5"/>
  <c r="BM6" i="5"/>
  <c r="AR7" i="5"/>
  <c r="AV7" i="5"/>
  <c r="AZ7" i="5"/>
  <c r="BD7" i="5"/>
  <c r="BH7" i="5"/>
  <c r="BL7" i="5"/>
  <c r="AQ8" i="5"/>
  <c r="AU8" i="5"/>
  <c r="AY8" i="5"/>
  <c r="BC8" i="5"/>
  <c r="BG8" i="5"/>
  <c r="BK8" i="5"/>
  <c r="AP9" i="5"/>
  <c r="AT9" i="5"/>
  <c r="AX9" i="5"/>
  <c r="BB9" i="5"/>
  <c r="BF9" i="5"/>
  <c r="BJ9" i="5"/>
  <c r="AO10" i="5"/>
  <c r="AS10" i="5"/>
  <c r="AW10" i="5"/>
  <c r="BA10" i="5"/>
  <c r="BE10" i="5"/>
  <c r="BI10" i="5"/>
  <c r="BM10" i="5"/>
  <c r="AR11" i="5"/>
  <c r="AV11" i="5"/>
  <c r="AZ11" i="5"/>
  <c r="BD11" i="5"/>
  <c r="BH11" i="5"/>
  <c r="BL11" i="5"/>
  <c r="AQ12" i="5"/>
  <c r="AU12" i="5"/>
  <c r="AY12" i="5"/>
  <c r="BC12" i="5"/>
  <c r="BG12" i="5"/>
  <c r="BK12" i="5"/>
  <c r="AP13" i="5"/>
  <c r="AT13" i="5"/>
  <c r="AX13" i="5"/>
  <c r="BB13" i="5"/>
  <c r="BF13" i="5"/>
  <c r="BJ13" i="5"/>
  <c r="AO14" i="5"/>
  <c r="AS14" i="5"/>
  <c r="AW14" i="5"/>
  <c r="BA14" i="5"/>
  <c r="BE14" i="5"/>
  <c r="BI14" i="5"/>
  <c r="BM14" i="5"/>
  <c r="AR15" i="5"/>
  <c r="AV15" i="5"/>
  <c r="AZ15" i="5"/>
  <c r="BD15" i="5"/>
  <c r="BH15" i="5"/>
  <c r="BL15" i="5"/>
  <c r="AQ16" i="5"/>
  <c r="AU16" i="5"/>
  <c r="AY16" i="5"/>
  <c r="BC16" i="5"/>
  <c r="BG16" i="5"/>
  <c r="BK16" i="5"/>
  <c r="AP17" i="5"/>
  <c r="AT17" i="5"/>
  <c r="AX17" i="5"/>
  <c r="BB17" i="5"/>
  <c r="AO4" i="5"/>
  <c r="AT4" i="5"/>
  <c r="AZ4" i="5"/>
  <c r="BE4" i="5"/>
  <c r="BJ4" i="5"/>
  <c r="AQ5" i="5"/>
  <c r="AV5" i="5"/>
  <c r="BA5" i="5"/>
  <c r="BG5" i="5"/>
  <c r="BL5" i="5"/>
  <c r="AR6" i="5"/>
  <c r="AX6" i="5"/>
  <c r="BC6" i="5"/>
  <c r="BH6" i="5"/>
  <c r="AO7" i="5"/>
  <c r="AT7" i="5"/>
  <c r="AY7" i="5"/>
  <c r="BE7" i="5"/>
  <c r="BJ7" i="5"/>
  <c r="AP8" i="5"/>
  <c r="AV8" i="5"/>
  <c r="BA8" i="5"/>
  <c r="BF8" i="5"/>
  <c r="BL8" i="5"/>
  <c r="AR9" i="5"/>
  <c r="AW9" i="5"/>
  <c r="BC9" i="5"/>
  <c r="BH9" i="5"/>
  <c r="BM9" i="5"/>
  <c r="AT10" i="5"/>
  <c r="AY10" i="5"/>
  <c r="BD10" i="5"/>
  <c r="BJ10" i="5"/>
  <c r="AP11" i="5"/>
  <c r="AU11" i="5"/>
  <c r="BA11" i="5"/>
  <c r="BF11" i="5"/>
  <c r="BK11" i="5"/>
  <c r="AR12" i="5"/>
  <c r="AW12" i="5"/>
  <c r="BB12" i="5"/>
  <c r="BH12" i="5"/>
  <c r="BM12" i="5"/>
  <c r="AS13" i="5"/>
  <c r="AY13" i="5"/>
  <c r="BD13" i="5"/>
  <c r="BI13" i="5"/>
  <c r="AP14" i="5"/>
  <c r="AU14" i="5"/>
  <c r="AZ14" i="5"/>
  <c r="BF14" i="5"/>
  <c r="BK14" i="5"/>
  <c r="AQ15" i="5"/>
  <c r="AW15" i="5"/>
  <c r="BB15" i="5"/>
  <c r="BG15" i="5"/>
  <c r="BM15" i="5"/>
  <c r="AS16" i="5"/>
  <c r="AX16" i="5"/>
  <c r="BD16" i="5"/>
  <c r="BI16" i="5"/>
  <c r="AO17" i="5"/>
  <c r="AU17" i="5"/>
  <c r="AZ17" i="5"/>
  <c r="BE17" i="5"/>
  <c r="BI17" i="5"/>
  <c r="BM17" i="5"/>
  <c r="AR18" i="5"/>
  <c r="AV18" i="5"/>
  <c r="AZ18" i="5"/>
  <c r="BD18" i="5"/>
  <c r="BH18" i="5"/>
  <c r="BL18" i="5"/>
  <c r="AQ19" i="5"/>
  <c r="AU19" i="5"/>
  <c r="AY19" i="5"/>
  <c r="BC19" i="5"/>
  <c r="BG19" i="5"/>
  <c r="BK19" i="5"/>
  <c r="AP20" i="5"/>
  <c r="AT20" i="5"/>
  <c r="AX20" i="5"/>
  <c r="BB20" i="5"/>
  <c r="BF20" i="5"/>
  <c r="BJ20" i="5"/>
  <c r="AP4" i="5"/>
  <c r="AV4" i="5"/>
  <c r="BA4" i="5"/>
  <c r="BF4" i="5"/>
  <c r="BL4" i="5"/>
  <c r="AR5" i="5"/>
  <c r="AW5" i="5"/>
  <c r="BC5" i="5"/>
  <c r="BH5" i="5"/>
  <c r="BM5" i="5"/>
  <c r="AT6" i="5"/>
  <c r="AY6" i="5"/>
  <c r="BD6" i="5"/>
  <c r="BJ6" i="5"/>
  <c r="AP7" i="5"/>
  <c r="AU7" i="5"/>
  <c r="BA7" i="5"/>
  <c r="BF7" i="5"/>
  <c r="BK7" i="5"/>
  <c r="AR8" i="5"/>
  <c r="AW8" i="5"/>
  <c r="BB8" i="5"/>
  <c r="BH8" i="5"/>
  <c r="BM8" i="5"/>
  <c r="AS9" i="5"/>
  <c r="AY9" i="5"/>
  <c r="BD9" i="5"/>
  <c r="BI9" i="5"/>
  <c r="AP10" i="5"/>
  <c r="AU10" i="5"/>
  <c r="AZ10" i="5"/>
  <c r="BF10" i="5"/>
  <c r="BK10" i="5"/>
  <c r="AQ11" i="5"/>
  <c r="AW11" i="5"/>
  <c r="BB11" i="5"/>
  <c r="BG11" i="5"/>
  <c r="BM11" i="5"/>
  <c r="AS12" i="5"/>
  <c r="AX12" i="5"/>
  <c r="BD12" i="5"/>
  <c r="BI12" i="5"/>
  <c r="AO13" i="5"/>
  <c r="AU13" i="5"/>
  <c r="AZ13" i="5"/>
  <c r="BE13" i="5"/>
  <c r="BK13" i="5"/>
  <c r="AQ14" i="5"/>
  <c r="AV14" i="5"/>
  <c r="BB14" i="5"/>
  <c r="BG14" i="5"/>
  <c r="BL14" i="5"/>
  <c r="AS15" i="5"/>
  <c r="AX15" i="5"/>
  <c r="BC15" i="5"/>
  <c r="BI15" i="5"/>
  <c r="AO16" i="5"/>
  <c r="AT16" i="5"/>
  <c r="AZ16" i="5"/>
  <c r="BE16" i="5"/>
  <c r="BJ16" i="5"/>
  <c r="AQ17" i="5"/>
  <c r="AV17" i="5"/>
  <c r="BA17" i="5"/>
  <c r="BF17" i="5"/>
  <c r="BJ17" i="5"/>
  <c r="AO18" i="5"/>
  <c r="AS18" i="5"/>
  <c r="AW18" i="5"/>
  <c r="BA18" i="5"/>
  <c r="BE18" i="5"/>
  <c r="BI18" i="5"/>
  <c r="BM18" i="5"/>
  <c r="AR4" i="5"/>
  <c r="AW4" i="5"/>
  <c r="BB4" i="5"/>
  <c r="BH4" i="5"/>
  <c r="BM4" i="5"/>
  <c r="AS5" i="5"/>
  <c r="AY5" i="5"/>
  <c r="BD5" i="5"/>
  <c r="BI5" i="5"/>
  <c r="AP6" i="5"/>
  <c r="AU6" i="5"/>
  <c r="AZ6" i="5"/>
  <c r="BF6" i="5"/>
  <c r="BK6" i="5"/>
  <c r="AQ7" i="5"/>
  <c r="AW7" i="5"/>
  <c r="BB7" i="5"/>
  <c r="BG7" i="5"/>
  <c r="BM7" i="5"/>
  <c r="AS8" i="5"/>
  <c r="AX8" i="5"/>
  <c r="BD8" i="5"/>
  <c r="BI8" i="5"/>
  <c r="AO9" i="5"/>
  <c r="AU9" i="5"/>
  <c r="AZ9" i="5"/>
  <c r="BE9" i="5"/>
  <c r="BK9" i="5"/>
  <c r="AQ10" i="5"/>
  <c r="AV10" i="5"/>
  <c r="BB10" i="5"/>
  <c r="BG10" i="5"/>
  <c r="BL10" i="5"/>
  <c r="AS11" i="5"/>
  <c r="AX11" i="5"/>
  <c r="BC11" i="5"/>
  <c r="BI11" i="5"/>
  <c r="AO12" i="5"/>
  <c r="AT12" i="5"/>
  <c r="AZ12" i="5"/>
  <c r="BE12" i="5"/>
  <c r="BJ12" i="5"/>
  <c r="AQ13" i="5"/>
  <c r="AV13" i="5"/>
  <c r="BA13" i="5"/>
  <c r="BG13" i="5"/>
  <c r="BL13" i="5"/>
  <c r="AR14" i="5"/>
  <c r="AX14" i="5"/>
  <c r="BC14" i="5"/>
  <c r="BH14" i="5"/>
  <c r="AO15" i="5"/>
  <c r="AT15" i="5"/>
  <c r="AY15" i="5"/>
  <c r="BE15" i="5"/>
  <c r="BJ15" i="5"/>
  <c r="AP16" i="5"/>
  <c r="AV16" i="5"/>
  <c r="BA16" i="5"/>
  <c r="BF16" i="5"/>
  <c r="BL16" i="5"/>
  <c r="AR17" i="5"/>
  <c r="AW17" i="5"/>
  <c r="BC17" i="5"/>
  <c r="BG17" i="5"/>
  <c r="BK17" i="5"/>
  <c r="AP18" i="5"/>
  <c r="AT18" i="5"/>
  <c r="AX18" i="5"/>
  <c r="BB18" i="5"/>
  <c r="BF18" i="5"/>
  <c r="BJ18" i="5"/>
  <c r="AO19" i="5"/>
  <c r="AS19" i="5"/>
  <c r="AW19" i="5"/>
  <c r="BA19" i="5"/>
  <c r="BE19" i="5"/>
  <c r="BI19" i="5"/>
  <c r="BM19" i="5"/>
  <c r="AR20" i="5"/>
  <c r="AV20" i="5"/>
  <c r="AS4" i="5"/>
  <c r="AO5" i="5"/>
  <c r="BK5" i="5"/>
  <c r="BG6" i="5"/>
  <c r="BC7" i="5"/>
  <c r="AZ8" i="5"/>
  <c r="AV9" i="5"/>
  <c r="AR10" i="5"/>
  <c r="AO11" i="5"/>
  <c r="BJ11" i="5"/>
  <c r="BF12" i="5"/>
  <c r="BC13" i="5"/>
  <c r="AY14" i="5"/>
  <c r="AU15" i="5"/>
  <c r="AR16" i="5"/>
  <c r="BM16" i="5"/>
  <c r="BH17" i="5"/>
  <c r="AY18" i="5"/>
  <c r="AP19" i="5"/>
  <c r="AX19" i="5"/>
  <c r="BF19" i="5"/>
  <c r="AO20" i="5"/>
  <c r="AW20" i="5"/>
  <c r="BC20" i="5"/>
  <c r="BH20" i="5"/>
  <c r="BM20" i="5"/>
  <c r="AR21" i="5"/>
  <c r="AV21" i="5"/>
  <c r="AZ21" i="5"/>
  <c r="BD21" i="5"/>
  <c r="BH21" i="5"/>
  <c r="BL21" i="5"/>
  <c r="AQ22" i="5"/>
  <c r="AU22" i="5"/>
  <c r="AY22" i="5"/>
  <c r="BC22" i="5"/>
  <c r="BG22" i="5"/>
  <c r="BK22" i="5"/>
  <c r="AP23" i="5"/>
  <c r="AT23" i="5"/>
  <c r="AX23" i="5"/>
  <c r="BB23" i="5"/>
  <c r="BF23" i="5"/>
  <c r="BJ23" i="5"/>
  <c r="AO24" i="5"/>
  <c r="AS24" i="5"/>
  <c r="AW24" i="5"/>
  <c r="BA24" i="5"/>
  <c r="BE24" i="5"/>
  <c r="BI24" i="5"/>
  <c r="BM24" i="5"/>
  <c r="AR25" i="5"/>
  <c r="AV25" i="5"/>
  <c r="AZ25" i="5"/>
  <c r="BD25" i="5"/>
  <c r="BH25" i="5"/>
  <c r="BL25" i="5"/>
  <c r="AQ26" i="5"/>
  <c r="AU26" i="5"/>
  <c r="AY26" i="5"/>
  <c r="BC26" i="5"/>
  <c r="BG26" i="5"/>
  <c r="BK26" i="5"/>
  <c r="AP27" i="5"/>
  <c r="AT27" i="5"/>
  <c r="AX27" i="5"/>
  <c r="BB27" i="5"/>
  <c r="BF27" i="5"/>
  <c r="BJ27" i="5"/>
  <c r="AO28" i="5"/>
  <c r="AS28" i="5"/>
  <c r="AW28" i="5"/>
  <c r="BA28" i="5"/>
  <c r="BE28" i="5"/>
  <c r="BI28" i="5"/>
  <c r="BM28" i="5"/>
  <c r="AR29" i="5"/>
  <c r="AV29" i="5"/>
  <c r="AZ29" i="5"/>
  <c r="BD29" i="5"/>
  <c r="BH29" i="5"/>
  <c r="BL29" i="5"/>
  <c r="AQ30" i="5"/>
  <c r="AU30" i="5"/>
  <c r="AY30" i="5"/>
  <c r="BC30" i="5"/>
  <c r="BG30" i="5"/>
  <c r="BK30" i="5"/>
  <c r="AN5" i="5"/>
  <c r="AN9" i="5"/>
  <c r="AN13" i="5"/>
  <c r="AN17" i="5"/>
  <c r="AN21" i="5"/>
  <c r="AN25" i="5"/>
  <c r="AN29" i="5"/>
  <c r="AX4" i="5"/>
  <c r="AU5" i="5"/>
  <c r="AQ6" i="5"/>
  <c r="BL6" i="5"/>
  <c r="BI7" i="5"/>
  <c r="BE8" i="5"/>
  <c r="BA9" i="5"/>
  <c r="AX10" i="5"/>
  <c r="AT11" i="5"/>
  <c r="AP12" i="5"/>
  <c r="BL12" i="5"/>
  <c r="BH13" i="5"/>
  <c r="BD14" i="5"/>
  <c r="BA15" i="5"/>
  <c r="AW16" i="5"/>
  <c r="AS17" i="5"/>
  <c r="BL17" i="5"/>
  <c r="BC18" i="5"/>
  <c r="AR19" i="5"/>
  <c r="AZ19" i="5"/>
  <c r="BH19" i="5"/>
  <c r="AQ20" i="5"/>
  <c r="AY20" i="5"/>
  <c r="BD20" i="5"/>
  <c r="BI20" i="5"/>
  <c r="AO21" i="5"/>
  <c r="AS21" i="5"/>
  <c r="AW21" i="5"/>
  <c r="BA21" i="5"/>
  <c r="BE21" i="5"/>
  <c r="BI21" i="5"/>
  <c r="BM21" i="5"/>
  <c r="AR22" i="5"/>
  <c r="AV22" i="5"/>
  <c r="AZ22" i="5"/>
  <c r="BD22" i="5"/>
  <c r="BH22" i="5"/>
  <c r="BL22" i="5"/>
  <c r="AQ23" i="5"/>
  <c r="AU23" i="5"/>
  <c r="AY23" i="5"/>
  <c r="BC23" i="5"/>
  <c r="BG23" i="5"/>
  <c r="BK23" i="5"/>
  <c r="AP24" i="5"/>
  <c r="AT24" i="5"/>
  <c r="AX24" i="5"/>
  <c r="BB24" i="5"/>
  <c r="BF24" i="5"/>
  <c r="BJ24" i="5"/>
  <c r="AO25" i="5"/>
  <c r="AS25" i="5"/>
  <c r="AW25" i="5"/>
  <c r="BA25" i="5"/>
  <c r="BE25" i="5"/>
  <c r="BI25" i="5"/>
  <c r="BM25" i="5"/>
  <c r="AR26" i="5"/>
  <c r="AV26" i="5"/>
  <c r="AZ26" i="5"/>
  <c r="BD26" i="5"/>
  <c r="BH26" i="5"/>
  <c r="BL26" i="5"/>
  <c r="AQ27" i="5"/>
  <c r="AU27" i="5"/>
  <c r="AY27" i="5"/>
  <c r="BC27" i="5"/>
  <c r="BG27" i="5"/>
  <c r="BK27" i="5"/>
  <c r="AP28" i="5"/>
  <c r="AT28" i="5"/>
  <c r="AX28" i="5"/>
  <c r="BB28" i="5"/>
  <c r="BF28" i="5"/>
  <c r="BJ28" i="5"/>
  <c r="AO29" i="5"/>
  <c r="AS29" i="5"/>
  <c r="AW29" i="5"/>
  <c r="BA29" i="5"/>
  <c r="BE29" i="5"/>
  <c r="BI29" i="5"/>
  <c r="BM29" i="5"/>
  <c r="AR30" i="5"/>
  <c r="AV30" i="5"/>
  <c r="AZ30" i="5"/>
  <c r="BD4" i="5"/>
  <c r="AZ5" i="5"/>
  <c r="AV6" i="5"/>
  <c r="AS7" i="5"/>
  <c r="AO8" i="5"/>
  <c r="BJ8" i="5"/>
  <c r="BG9" i="5"/>
  <c r="BC10" i="5"/>
  <c r="AY11" i="5"/>
  <c r="AV12" i="5"/>
  <c r="AR13" i="5"/>
  <c r="BM13" i="5"/>
  <c r="BJ14" i="5"/>
  <c r="BF15" i="5"/>
  <c r="BB16" i="5"/>
  <c r="AY17" i="5"/>
  <c r="AQ18" i="5"/>
  <c r="BG18" i="5"/>
  <c r="AT19" i="5"/>
  <c r="BB19" i="5"/>
  <c r="BJ19" i="5"/>
  <c r="AS20" i="5"/>
  <c r="AZ20" i="5"/>
  <c r="BE20" i="5"/>
  <c r="BK20" i="5"/>
  <c r="AP21" i="5"/>
  <c r="AT21" i="5"/>
  <c r="AX21" i="5"/>
  <c r="BB21" i="5"/>
  <c r="BF21" i="5"/>
  <c r="BJ21" i="5"/>
  <c r="AO22" i="5"/>
  <c r="AS22" i="5"/>
  <c r="AW22" i="5"/>
  <c r="BA22" i="5"/>
  <c r="BE22" i="5"/>
  <c r="BI22" i="5"/>
  <c r="BM22" i="5"/>
  <c r="AR23" i="5"/>
  <c r="AV23" i="5"/>
  <c r="AZ23" i="5"/>
  <c r="BD23" i="5"/>
  <c r="BH23" i="5"/>
  <c r="BL23" i="5"/>
  <c r="AQ24" i="5"/>
  <c r="AU24" i="5"/>
  <c r="AY24" i="5"/>
  <c r="BC24" i="5"/>
  <c r="BG24" i="5"/>
  <c r="BK24" i="5"/>
  <c r="AP25" i="5"/>
  <c r="AT25" i="5"/>
  <c r="AX25" i="5"/>
  <c r="BB25" i="5"/>
  <c r="BF25" i="5"/>
  <c r="BJ25" i="5"/>
  <c r="AO26" i="5"/>
  <c r="AS26" i="5"/>
  <c r="AW26" i="5"/>
  <c r="BA26" i="5"/>
  <c r="BE26" i="5"/>
  <c r="BI26" i="5"/>
  <c r="BM26" i="5"/>
  <c r="AR27" i="5"/>
  <c r="AV27" i="5"/>
  <c r="AZ27" i="5"/>
  <c r="BD27" i="5"/>
  <c r="BH27" i="5"/>
  <c r="BL27" i="5"/>
  <c r="AQ28" i="5"/>
  <c r="AU28" i="5"/>
  <c r="AY28" i="5"/>
  <c r="BC28" i="5"/>
  <c r="BG28" i="5"/>
  <c r="BK28" i="5"/>
  <c r="AP29" i="5"/>
  <c r="AT29" i="5"/>
  <c r="AX29" i="5"/>
  <c r="BB29" i="5"/>
  <c r="BF29" i="5"/>
  <c r="BJ29" i="5"/>
  <c r="AO30" i="5"/>
  <c r="AS30" i="5"/>
  <c r="AW30" i="5"/>
  <c r="BA30" i="5"/>
  <c r="BE30" i="5"/>
  <c r="BI30" i="5"/>
  <c r="BM30" i="5"/>
  <c r="AN7" i="5"/>
  <c r="AN11" i="5"/>
  <c r="AN15" i="5"/>
  <c r="AN19" i="5"/>
  <c r="AN23" i="5"/>
  <c r="AN27" i="5"/>
  <c r="AN24" i="5"/>
  <c r="AN16" i="5"/>
  <c r="AN8" i="5"/>
  <c r="BJ30" i="5"/>
  <c r="BB30" i="5"/>
  <c r="BK29" i="5"/>
  <c r="AU29" i="5"/>
  <c r="BD28" i="5"/>
  <c r="BM27" i="5"/>
  <c r="AW27" i="5"/>
  <c r="BF26" i="5"/>
  <c r="AP26" i="5"/>
  <c r="AY25" i="5"/>
  <c r="BH24" i="5"/>
  <c r="AR24" i="5"/>
  <c r="BA23" i="5"/>
  <c r="BJ22" i="5"/>
  <c r="AT22" i="5"/>
  <c r="BC21" i="5"/>
  <c r="BL20" i="5"/>
  <c r="BL19" i="5"/>
  <c r="AU18" i="5"/>
  <c r="AP15" i="5"/>
  <c r="BE11" i="5"/>
  <c r="AT8" i="5"/>
  <c r="BI4" i="5"/>
  <c r="AM13" i="5"/>
  <c r="AM26" i="5"/>
  <c r="AM8" i="5"/>
  <c r="AM21" i="5"/>
  <c r="AM15" i="5"/>
  <c r="AM28" i="5"/>
  <c r="AM9" i="5"/>
  <c r="AM22" i="5"/>
  <c r="AM16" i="5"/>
  <c r="AM29" i="5"/>
  <c r="AM10" i="5"/>
  <c r="AM4" i="5"/>
  <c r="AM23" i="5"/>
  <c r="AM5" i="5"/>
  <c r="AM17" i="5"/>
  <c r="AM30" i="5"/>
  <c r="AM11" i="5"/>
  <c r="AM24" i="5"/>
  <c r="AM7" i="5"/>
  <c r="AM18" i="5"/>
  <c r="AM27" i="5"/>
  <c r="AM12" i="5"/>
  <c r="AM25" i="5"/>
  <c r="AM14" i="5"/>
  <c r="AM6" i="5"/>
  <c r="AM20" i="5"/>
  <c r="AM19" i="5"/>
  <c r="BA33" i="5" l="1"/>
  <c r="AY33" i="5"/>
  <c r="AW33" i="5"/>
  <c r="BG33" i="5"/>
  <c r="BF33" i="5"/>
  <c r="AZ33" i="5"/>
  <c r="AV33" i="5"/>
  <c r="AQ33" i="5"/>
  <c r="AS33" i="5"/>
  <c r="AU33" i="5"/>
  <c r="BC33" i="5"/>
  <c r="BH33" i="5"/>
  <c r="BB33" i="5"/>
  <c r="BK33" i="5"/>
  <c r="AR33" i="5"/>
  <c r="AP33" i="5"/>
  <c r="BM33" i="5"/>
  <c r="AO33" i="5"/>
  <c r="AX33" i="5"/>
  <c r="AN33" i="5"/>
  <c r="BE33" i="5"/>
  <c r="AT33" i="5"/>
  <c r="AM33" i="5"/>
  <c r="BJ33" i="5"/>
  <c r="BL33" i="5"/>
</calcChain>
</file>

<file path=xl/sharedStrings.xml><?xml version="1.0" encoding="utf-8"?>
<sst xmlns="http://schemas.openxmlformats.org/spreadsheetml/2006/main" count="750" uniqueCount="575">
  <si>
    <t>Time</t>
  </si>
  <si>
    <t>Time (h)</t>
  </si>
  <si>
    <r>
      <t>OD</t>
    </r>
    <r>
      <rPr>
        <b/>
        <vertAlign val="subscript"/>
        <sz val="12"/>
        <color rgb="FFFFFFFF"/>
        <rFont val="Calibri"/>
        <family val="2"/>
        <scheme val="minor"/>
      </rPr>
      <t>600nm</t>
    </r>
  </si>
  <si>
    <t>Alu-pan (mg)</t>
  </si>
  <si>
    <t>Total (mg)</t>
  </si>
  <si>
    <t>Dry weight (mg)</t>
  </si>
  <si>
    <t>NaOH (ml)</t>
  </si>
  <si>
    <t xml:space="preserve">Cryo-tube # </t>
  </si>
  <si>
    <t>Aluminum pan #</t>
  </si>
  <si>
    <t>Volume removed from fermenter (ml)</t>
  </si>
  <si>
    <t>Inoculation</t>
  </si>
  <si>
    <r>
      <t xml:space="preserve">Added 200 </t>
    </r>
    <r>
      <rPr>
        <sz val="11"/>
        <color rgb="FFFF0000"/>
        <rFont val="Calibri"/>
        <family val="2"/>
      </rPr>
      <t>µl anti-foam 13:45</t>
    </r>
  </si>
  <si>
    <t>Added NaOH up to 48 ml</t>
  </si>
  <si>
    <r>
      <t xml:space="preserve">Added 400 </t>
    </r>
    <r>
      <rPr>
        <sz val="11"/>
        <color rgb="FFFF0000"/>
        <rFont val="Calibri"/>
        <family val="2"/>
      </rPr>
      <t>µl anti-foam 17:05</t>
    </r>
  </si>
  <si>
    <t>Glucose</t>
  </si>
  <si>
    <t>Fermenter settings: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</si>
  <si>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 xml:space="preserve">Stirring: 200 – 1000 rpm regulated by DO which should be kept </t>
    </r>
    <r>
      <rPr>
        <sz val="12"/>
        <color theme="1"/>
        <rFont val="Calibri"/>
        <family val="2"/>
      </rPr>
      <t>≥</t>
    </r>
    <r>
      <rPr>
        <sz val="12"/>
        <color theme="1"/>
        <rFont val="Calibri"/>
        <family val="2"/>
        <scheme val="minor"/>
      </rPr>
      <t xml:space="preserve"> 40%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</si>
  <si>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>pH: 7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</si>
  <si>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 xml:space="preserve">Temperature: 37 </t>
    </r>
    <r>
      <rPr>
        <sz val="12"/>
        <color rgb="FF202124"/>
        <rFont val="Calibri"/>
        <family val="2"/>
        <scheme val="minor"/>
      </rPr>
      <t>°C</t>
    </r>
  </si>
  <si>
    <r>
      <t>·</t>
    </r>
    <r>
      <rPr>
        <sz val="7"/>
        <color rgb="FF202124"/>
        <rFont val="Times New Roman"/>
        <family val="1"/>
      </rPr>
      <t xml:space="preserve">       </t>
    </r>
    <r>
      <rPr>
        <sz val="12"/>
        <color rgb="FF202124"/>
        <rFont val="Calibri"/>
        <family val="2"/>
        <scheme val="minor"/>
      </rPr>
      <t>Sparging with O</t>
    </r>
    <r>
      <rPr>
        <vertAlign val="subscript"/>
        <sz val="12"/>
        <color rgb="FF202124"/>
        <rFont val="Calibri"/>
        <family val="2"/>
        <scheme val="minor"/>
      </rPr>
      <t>2</t>
    </r>
    <r>
      <rPr>
        <sz val="12"/>
        <color rgb="FF202124"/>
        <rFont val="Calibri"/>
        <family val="2"/>
        <scheme val="minor"/>
      </rPr>
      <t xml:space="preserve"> at ~ 1 L/min</t>
    </r>
  </si>
  <si>
    <t>Harvesting:</t>
  </si>
  <si>
    <r>
      <t xml:space="preserve">Spin the samples at 5000 rpm (4500 RCF) for 10 minutes, remove supernatant. Wash twice with ~15 ml </t>
    </r>
    <r>
      <rPr>
        <sz val="12"/>
        <color rgb="FF000000"/>
        <rFont val="Calibri"/>
        <family val="2"/>
        <scheme val="minor"/>
      </rPr>
      <t>0,9% NaCl and once with ~15 ml MQ-H</t>
    </r>
    <r>
      <rPr>
        <vertAlign val="subscript"/>
        <sz val="12"/>
        <color rgb="FF000000"/>
        <rFont val="Calibri"/>
        <family val="2"/>
        <scheme val="minor"/>
      </rPr>
      <t>2</t>
    </r>
    <r>
      <rPr>
        <sz val="12"/>
        <color rgb="FF000000"/>
        <rFont val="Calibri"/>
        <family val="2"/>
        <scheme val="minor"/>
      </rPr>
      <t xml:space="preserve">O. Store the cell pellet in -20 °C freezer. </t>
    </r>
  </si>
  <si>
    <r>
      <rPr>
        <b/>
        <sz val="12"/>
        <color rgb="FF000000"/>
        <rFont val="Calibri"/>
        <family val="2"/>
        <scheme val="minor"/>
      </rPr>
      <t>Note</t>
    </r>
    <r>
      <rPr>
        <sz val="12"/>
        <color rgb="FF000000"/>
        <rFont val="Calibri"/>
        <family val="2"/>
        <scheme val="minor"/>
      </rPr>
      <t>:</t>
    </r>
    <r>
      <rPr>
        <sz val="12"/>
        <color rgb="FF5F6368"/>
        <rFont val="Calibri"/>
        <family val="2"/>
        <scheme val="minor"/>
      </rPr>
      <t xml:space="preserve"> </t>
    </r>
    <r>
      <rPr>
        <sz val="12"/>
        <color rgb="FF202124"/>
        <rFont val="Calibri"/>
        <family val="2"/>
        <scheme val="minor"/>
      </rPr>
      <t>Samples can be combined during the washing steps.</t>
    </r>
  </si>
  <si>
    <t>Samplings:</t>
  </si>
  <si>
    <t>For dry weight samples:</t>
  </si>
  <si>
    <t>For media samples:</t>
  </si>
  <si>
    <t>Take out ~2 ml sample. Spin at 10000 rpm (6700 RCF) for 2 minutes (table sentrifuge). Sterile filter the supernatant. Store in -20 °C freezer.</t>
  </si>
  <si>
    <t>Time Stamp</t>
  </si>
  <si>
    <t>Time&amp;Date</t>
  </si>
  <si>
    <t>Nitrogen</t>
  </si>
  <si>
    <t>Oxygen</t>
  </si>
  <si>
    <t>Argon</t>
  </si>
  <si>
    <t>Carbon Dioxide</t>
  </si>
  <si>
    <t>Acetaldehyde</t>
  </si>
  <si>
    <t>Ethanol</t>
  </si>
  <si>
    <t>RMS Flow</t>
  </si>
  <si>
    <t>CER</t>
  </si>
  <si>
    <t>OUR</t>
  </si>
  <si>
    <t>RQ</t>
  </si>
  <si>
    <t>mass28</t>
  </si>
  <si>
    <t>mass31</t>
  </si>
  <si>
    <t>mass32</t>
  </si>
  <si>
    <t>mass40</t>
  </si>
  <si>
    <t>mass43</t>
  </si>
  <si>
    <t>mass44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</si>
  <si>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</si>
  <si>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2021.04.15 08:41:25,87</t>
  </si>
  <si>
    <t>2021.04.15 08:43:16,83</t>
  </si>
  <si>
    <t>2021.04.15 08:45:14,34</t>
  </si>
  <si>
    <t>2021.04.15 08:47:05,37</t>
  </si>
  <si>
    <t>2021.04.15 08:49:02,77</t>
  </si>
  <si>
    <t>2021.04.15 08:50:53,63</t>
  </si>
  <si>
    <t>2021.04.15 08:52:50,96</t>
  </si>
  <si>
    <t>2021.04.15 08:54:41,82</t>
  </si>
  <si>
    <t>2021.04.15 08:56:39,26</t>
  </si>
  <si>
    <t>2021.04.15 08:58:30,27</t>
  </si>
  <si>
    <t>2021.04.15 09:00:27,72</t>
  </si>
  <si>
    <t>2021.04.15 09:02:18,46</t>
  </si>
  <si>
    <t>2021.04.15 09:04:15,73</t>
  </si>
  <si>
    <t>2021.04.15 09:06:06,57</t>
  </si>
  <si>
    <t>2021.04.15 09:08:03,91</t>
  </si>
  <si>
    <t>2021.04.15 09:09:54,73</t>
  </si>
  <si>
    <t>2021.04.15 09:11:51,95</t>
  </si>
  <si>
    <t>2021.04.15 09:13:42,83</t>
  </si>
  <si>
    <t>2021.04.15 09:15:39,95</t>
  </si>
  <si>
    <t>2021.04.15 09:17:30,39</t>
  </si>
  <si>
    <t>2021.04.15 09:19:27,37</t>
  </si>
  <si>
    <t>2021.04.15 09:21:18,38</t>
  </si>
  <si>
    <t>2021.04.15 09:23:15,77</t>
  </si>
  <si>
    <t>2021.04.15 09:25:06,52</t>
  </si>
  <si>
    <t>2021.04.15 09:27:03,75</t>
  </si>
  <si>
    <t>2021.04.15 09:28:54,49</t>
  </si>
  <si>
    <t>2021.04.15 09:30:51,68</t>
  </si>
  <si>
    <t>2021.04.15 09:32:42,55</t>
  </si>
  <si>
    <t>2021.04.15 09:34:39,75</t>
  </si>
  <si>
    <t>2021.04.15 09:36:30,53</t>
  </si>
  <si>
    <t>2021.04.15 09:38:27,88</t>
  </si>
  <si>
    <t>2021.04.15 09:40:18,76</t>
  </si>
  <si>
    <t>2021.04.15 09:42:16,23</t>
  </si>
  <si>
    <t>2021.04.15 09:44:07,00</t>
  </si>
  <si>
    <t>2021.04.15 09:46:04,28</t>
  </si>
  <si>
    <t>2021.04.15 09:47:55,15</t>
  </si>
  <si>
    <t>2021.04.15 09:49:52,42</t>
  </si>
  <si>
    <t>2021.04.15 09:51:43,15</t>
  </si>
  <si>
    <t>2021.04.15 09:53:40,61</t>
  </si>
  <si>
    <t>2021.04.15 09:55:31,30</t>
  </si>
  <si>
    <t>2021.04.15 09:57:28,53</t>
  </si>
  <si>
    <t>2021.04.15 09:59:19,19</t>
  </si>
  <si>
    <t>2021.04.15 10:01:16,41</t>
  </si>
  <si>
    <t>2021.04.15 10:03:07,21</t>
  </si>
  <si>
    <t>2021.04.15 10:05:04,92</t>
  </si>
  <si>
    <t>2021.04.15 10:06:55,42</t>
  </si>
  <si>
    <t>2021.04.15 10:08:52,71</t>
  </si>
  <si>
    <t>2021.04.15 10:10:43,22</t>
  </si>
  <si>
    <t>2021.04.15 10:12:40,71</t>
  </si>
  <si>
    <t>2021.04.15 10:14:31,42</t>
  </si>
  <si>
    <t>2021.04.15 10:16:28,70</t>
  </si>
  <si>
    <t>2021.04.15 10:18:19,39</t>
  </si>
  <si>
    <t>2021.04.15 10:20:16,71</t>
  </si>
  <si>
    <t>2021.04.15 10:22:07,26</t>
  </si>
  <si>
    <t>2021.04.15 10:24:04,86</t>
  </si>
  <si>
    <t>2021.04.15 10:25:55,49</t>
  </si>
  <si>
    <t>2021.04.15 10:27:52,69</t>
  </si>
  <si>
    <t>2021.04.15 10:29:43,35</t>
  </si>
  <si>
    <t>2021.04.15 10:31:40,55</t>
  </si>
  <si>
    <t>2021.04.15 10:33:31,30</t>
  </si>
  <si>
    <t>2021.04.15 10:35:28,54</t>
  </si>
  <si>
    <t>2021.04.15 10:37:19,23</t>
  </si>
  <si>
    <t>2021.04.15 10:39:16,48</t>
  </si>
  <si>
    <t>2021.04.15 10:41:07,00</t>
  </si>
  <si>
    <t>2021.04.15 10:43:03,91</t>
  </si>
  <si>
    <t>2021.04.15 10:44:54,72</t>
  </si>
  <si>
    <t>2021.04.15 10:46:51,68</t>
  </si>
  <si>
    <t>2021.04.15 10:48:42,36</t>
  </si>
  <si>
    <t>2021.04.15 10:50:39,54</t>
  </si>
  <si>
    <t>2021.04.15 10:52:29,55</t>
  </si>
  <si>
    <t>2021.04.15 10:54:25,40</t>
  </si>
  <si>
    <t>2021.04.15 10:56:15,49</t>
  </si>
  <si>
    <t>2021.04.15 10:58:11,95</t>
  </si>
  <si>
    <t>2021.04.15 11:00:01,54</t>
  </si>
  <si>
    <t>2021.04.15 11:01:57,55</t>
  </si>
  <si>
    <t>2021.04.15 11:03:46,71</t>
  </si>
  <si>
    <t>2021.04.15 11:05:43,09</t>
  </si>
  <si>
    <t>2021.04.15 11:07:32,94</t>
  </si>
  <si>
    <t>2021.04.15 11:09:29,23</t>
  </si>
  <si>
    <t>2021.04.15 11:11:18,75</t>
  </si>
  <si>
    <t>2021.04.15 11:13:15,09</t>
  </si>
  <si>
    <t>2021.04.15 11:15:04,99</t>
  </si>
  <si>
    <t>2021.04.15 11:17:00,90</t>
  </si>
  <si>
    <t>2021.04.15 11:18:50,36</t>
  </si>
  <si>
    <t>2021.04.15 11:20:46,84</t>
  </si>
  <si>
    <t>2021.04.15 11:22:36,46</t>
  </si>
  <si>
    <t>2021.04.15 11:24:32,86</t>
  </si>
  <si>
    <t>2021.04.15 11:26:22,35</t>
  </si>
  <si>
    <t>2021.04.15 11:28:18,49</t>
  </si>
  <si>
    <t>2021.04.15 11:30:07,84</t>
  </si>
  <si>
    <t>2021.04.15 11:32:03,80</t>
  </si>
  <si>
    <t>2021.04.15 11:33:53,24</t>
  </si>
  <si>
    <t>2021.04.15 11:35:49,07</t>
  </si>
  <si>
    <t>2021.04.15 11:37:39,01</t>
  </si>
  <si>
    <t>2021.04.15 11:39:35,27</t>
  </si>
  <si>
    <t>2021.04.15 11:41:24,69</t>
  </si>
  <si>
    <t>2021.04.15 11:43:21,04</t>
  </si>
  <si>
    <t>2021.04.15 11:45:10,73</t>
  </si>
  <si>
    <t>2021.04.15 11:47:06,85</t>
  </si>
  <si>
    <t>2021.04.15 11:48:57,00</t>
  </si>
  <si>
    <t>2021.04.15 11:50:53,26</t>
  </si>
  <si>
    <t>2021.04.15 11:52:42,48</t>
  </si>
  <si>
    <t>2021.04.15 11:54:39,13</t>
  </si>
  <si>
    <t>2021.04.15 11:56:28,72</t>
  </si>
  <si>
    <t>2021.04.15 11:58:24,63</t>
  </si>
  <si>
    <t>2021.04.15 12:00:14,13</t>
  </si>
  <si>
    <t>2021.04.15 12:02:09,89</t>
  </si>
  <si>
    <t>2021.04.15 12:03:59,97</t>
  </si>
  <si>
    <t>2021.04.15 12:05:56,22</t>
  </si>
  <si>
    <t>2021.04.15 12:07:45,50</t>
  </si>
  <si>
    <t>2021.04.15 12:09:41,93</t>
  </si>
  <si>
    <t>2021.04.15 12:11:31,52</t>
  </si>
  <si>
    <t>2021.04.15 12:13:27,81</t>
  </si>
  <si>
    <t>2021.04.15 12:15:17,46</t>
  </si>
  <si>
    <t>2021.04.15 12:17:13,49</t>
  </si>
  <si>
    <t>2021.04.15 12:19:03,24</t>
  </si>
  <si>
    <t>2021.04.15 12:21:00,03</t>
  </si>
  <si>
    <t>2021.04.15 12:22:49,50</t>
  </si>
  <si>
    <t>2021.04.15 12:24:45,60</t>
  </si>
  <si>
    <t>2021.04.15 12:26:34,79</t>
  </si>
  <si>
    <t>2021.04.15 12:28:30,68</t>
  </si>
  <si>
    <t>2021.04.15 12:30:20,13</t>
  </si>
  <si>
    <t>2021.04.15 12:32:15,97</t>
  </si>
  <si>
    <t>2021.04.15 12:34:05,85</t>
  </si>
  <si>
    <t>2021.04.15 12:36:02,42</t>
  </si>
  <si>
    <t>2021.04.15 12:37:51,88</t>
  </si>
  <si>
    <t>2021.04.15 12:39:48,22</t>
  </si>
  <si>
    <t>2021.04.15 12:41:37,84</t>
  </si>
  <si>
    <t>2021.04.15 12:43:33,77</t>
  </si>
  <si>
    <t>2021.04.15 12:45:23,47</t>
  </si>
  <si>
    <t>2021.04.15 12:47:19,79</t>
  </si>
  <si>
    <t>2021.04.15 12:49:09,40</t>
  </si>
  <si>
    <t>2021.04.15 12:51:05,71</t>
  </si>
  <si>
    <t>2021.04.15 12:52:55,43</t>
  </si>
  <si>
    <t>2021.04.15 12:54:51,41</t>
  </si>
  <si>
    <t>2021.04.15 12:56:41,02</t>
  </si>
  <si>
    <t>2021.04.15 12:58:36,94</t>
  </si>
  <si>
    <t>2021.04.15 13:00:26,75</t>
  </si>
  <si>
    <t>2021.04.15 13:02:23,17</t>
  </si>
  <si>
    <t>2021.04.15 13:04:12,77</t>
  </si>
  <si>
    <t>2021.04.15 13:06:09,20</t>
  </si>
  <si>
    <t>2021.04.15 13:07:58,86</t>
  </si>
  <si>
    <t>2021.04.15 13:09:54,84</t>
  </si>
  <si>
    <t>2021.04.15 13:11:44,90</t>
  </si>
  <si>
    <t>2021.04.15 13:13:41,15</t>
  </si>
  <si>
    <t>2021.04.15 13:15:30,69</t>
  </si>
  <si>
    <t>2021.04.15 13:17:27,15</t>
  </si>
  <si>
    <t>2021.04.15 13:19:16,80</t>
  </si>
  <si>
    <t>2021.04.15 13:21:12,61</t>
  </si>
  <si>
    <t>2021.04.15 13:23:02,14</t>
  </si>
  <si>
    <t>2021.04.15 13:24:58,12</t>
  </si>
  <si>
    <t>2021.04.15 13:26:47,87</t>
  </si>
  <si>
    <t>2021.04.15 13:28:44,14</t>
  </si>
  <si>
    <t>2021.04.15 13:30:33,58</t>
  </si>
  <si>
    <t>2021.04.15 13:32:29,60</t>
  </si>
  <si>
    <t>2021.04.15 13:34:19,09</t>
  </si>
  <si>
    <t>2021.04.15 13:36:15,24</t>
  </si>
  <si>
    <t>2021.04.15 13:38:04,53</t>
  </si>
  <si>
    <t>2021.04.15 13:40:00,56</t>
  </si>
  <si>
    <t>2021.04.15 13:41:50,00</t>
  </si>
  <si>
    <t>2021.04.15 13:43:45,87</t>
  </si>
  <si>
    <t>2021.04.15 13:45:35,41</t>
  </si>
  <si>
    <t>2021.04.15 13:47:31,32</t>
  </si>
  <si>
    <t>2021.04.15 13:49:21,08</t>
  </si>
  <si>
    <t>2021.04.15 13:51:17,82</t>
  </si>
  <si>
    <t>2021.04.15 13:53:07,16</t>
  </si>
  <si>
    <t>2021.04.15 13:55:03,45</t>
  </si>
  <si>
    <t>2021.04.15 13:56:52,83</t>
  </si>
  <si>
    <t>2021.04.15 13:58:48,79</t>
  </si>
  <si>
    <t>2021.04.15 14:00:38,29</t>
  </si>
  <si>
    <t>2021.04.15 14:02:34,19</t>
  </si>
  <si>
    <t>2021.04.15 14:04:23,94</t>
  </si>
  <si>
    <t>2021.04.15 14:06:20,22</t>
  </si>
  <si>
    <t>2021.04.15 14:08:09,76</t>
  </si>
  <si>
    <t>2021.04.15 14:10:06,11</t>
  </si>
  <si>
    <t>2021.04.15 14:11:55,82</t>
  </si>
  <si>
    <t>2021.04.15 14:13:52,08</t>
  </si>
  <si>
    <t>2021.04.15 14:15:41,99</t>
  </si>
  <si>
    <t>2021.04.15 14:17:38,70</t>
  </si>
  <si>
    <t>2021.04.15 14:19:27,94</t>
  </si>
  <si>
    <t>2021.04.15 14:21:24,27</t>
  </si>
  <si>
    <t>2021.04.15 14:23:13,96</t>
  </si>
  <si>
    <t>2021.04.15 14:25:10,05</t>
  </si>
  <si>
    <t>2021.04.15 14:26:59,94</t>
  </si>
  <si>
    <t>2021.04.15 14:28:56,17</t>
  </si>
  <si>
    <t>2021.04.15 14:30:45,56</t>
  </si>
  <si>
    <t>2021.04.15 14:32:41,89</t>
  </si>
  <si>
    <t>2021.04.15 14:34:31,76</t>
  </si>
  <si>
    <t>2021.04.15 14:36:27,73</t>
  </si>
  <si>
    <t>2021.04.15 14:38:17,20</t>
  </si>
  <si>
    <t>2021.04.15 14:40:12,97</t>
  </si>
  <si>
    <t>2021.04.15 14:42:03,25</t>
  </si>
  <si>
    <t>2021.04.15 14:43:59,93</t>
  </si>
  <si>
    <t>2021.04.15 14:45:49,64</t>
  </si>
  <si>
    <t>2021.04.15 14:47:46,76</t>
  </si>
  <si>
    <t>2021.04.15 14:49:37,38</t>
  </si>
  <si>
    <t>2021.04.15 14:51:34,24</t>
  </si>
  <si>
    <t>2021.04.15 14:53:24,67</t>
  </si>
  <si>
    <t>2021.04.15 14:55:21,76</t>
  </si>
  <si>
    <t>2021.04.15 14:57:12,26</t>
  </si>
  <si>
    <t>2021.04.15 14:59:09,39</t>
  </si>
  <si>
    <t>2021.04.15 15:00:59,65</t>
  </si>
  <si>
    <t>2021.04.15 15:02:56,48</t>
  </si>
  <si>
    <t>2021.04.15 15:04:47,03</t>
  </si>
  <si>
    <t>2021.04.15 15:06:43,90</t>
  </si>
  <si>
    <t>2021.04.15 15:08:34,39</t>
  </si>
  <si>
    <t>2021.04.15 15:10:31,39</t>
  </si>
  <si>
    <t>2021.04.15 15:12:21,67</t>
  </si>
  <si>
    <t>2021.04.15 15:14:18,69</t>
  </si>
  <si>
    <t>2021.04.15 15:16:08,87</t>
  </si>
  <si>
    <t>2021.04.15 15:18:05,79</t>
  </si>
  <si>
    <t>2021.04.15 15:19:56,40</t>
  </si>
  <si>
    <t>2021.04.15 15:21:53,26</t>
  </si>
  <si>
    <t>2021.04.15 15:23:44,10</t>
  </si>
  <si>
    <t>2021.04.15 15:25:41,14</t>
  </si>
  <si>
    <t>2021.04.15 15:27:31,66</t>
  </si>
  <si>
    <t>2021.04.15 15:29:28,63</t>
  </si>
  <si>
    <t>2021.04.15 15:31:18,94</t>
  </si>
  <si>
    <t>2021.04.15 15:33:16,09</t>
  </si>
  <si>
    <t>2021.04.15 15:35:06,62</t>
  </si>
  <si>
    <t>2021.04.15 15:37:03,69</t>
  </si>
  <si>
    <t>2021.04.15 15:38:54,13</t>
  </si>
  <si>
    <t>2021.04.15 15:40:51,07</t>
  </si>
  <si>
    <t>2021.04.15 15:42:41,44</t>
  </si>
  <si>
    <t>2021.04.15 15:44:38,34</t>
  </si>
  <si>
    <t>2021.04.15 15:46:28,79</t>
  </si>
  <si>
    <t>2021.04.15 15:48:25,60</t>
  </si>
  <si>
    <t>2021.04.15 15:50:16,29</t>
  </si>
  <si>
    <t>2021.04.15 15:52:13,85</t>
  </si>
  <si>
    <t>2021.04.15 15:54:04,63</t>
  </si>
  <si>
    <t>2021.04.15 15:56:01,81</t>
  </si>
  <si>
    <t>2021.04.15 15:57:52,58</t>
  </si>
  <si>
    <t>2021.04.15 15:59:49,94</t>
  </si>
  <si>
    <t>2021.04.15 16:01:40,77</t>
  </si>
  <si>
    <t>2021.04.15 16:03:38,12</t>
  </si>
  <si>
    <t>2021.04.15 16:05:28,81</t>
  </si>
  <si>
    <t>2021.04.15 16:07:26,06</t>
  </si>
  <si>
    <t>2021.04.15 16:09:16,70</t>
  </si>
  <si>
    <t>2021.04.15 16:11:14,49</t>
  </si>
  <si>
    <t>2021.04.15 16:13:05,72</t>
  </si>
  <si>
    <t>2021.04.15 16:15:03,47</t>
  </si>
  <si>
    <t>2021.04.15 16:16:54,39</t>
  </si>
  <si>
    <t>2021.04.15 16:18:52,47</t>
  </si>
  <si>
    <t>2021.04.15 16:20:44,05</t>
  </si>
  <si>
    <t>2021.04.15 16:22:42,24</t>
  </si>
  <si>
    <t>2021.04.15 16:24:33,62</t>
  </si>
  <si>
    <t>2021.04.15 16:26:31,47</t>
  </si>
  <si>
    <t>2021.04.15 16:28:21,96</t>
  </si>
  <si>
    <t>2021.04.15 16:30:20,06</t>
  </si>
  <si>
    <t>2021.04.15 16:32:18,04</t>
  </si>
  <si>
    <t>2021.04.15 16:34:09,24</t>
  </si>
  <si>
    <t>2021.04.15 16:36:07,07</t>
  </si>
  <si>
    <t>2021.04.15 16:37:58,14</t>
  </si>
  <si>
    <t>2021.04.15 16:39:56,15</t>
  </si>
  <si>
    <t>2021.04.15 16:41:47,34</t>
  </si>
  <si>
    <t>2021.04.15 16:43:45,38</t>
  </si>
  <si>
    <t>2021.04.15 16:45:36,64</t>
  </si>
  <si>
    <t>2021.04.15 16:47:34,76</t>
  </si>
  <si>
    <t>2021.04.15 16:49:26,03</t>
  </si>
  <si>
    <t>2021.04.15 16:51:23,58</t>
  </si>
  <si>
    <t>2021.04.15 16:53:14,60</t>
  </si>
  <si>
    <t>2021.04.15 16:55:12,63</t>
  </si>
  <si>
    <t>2021.04.15 16:57:04,02</t>
  </si>
  <si>
    <t>2021.04.15 16:59:01,77</t>
  </si>
  <si>
    <t>2021.04.15 17:00:53,16</t>
  </si>
  <si>
    <t>2021.04.15 17:02:50,85</t>
  </si>
  <si>
    <t>2021.04.15 17:04:41,85</t>
  </si>
  <si>
    <t>2021.04.15 17:06:39,75</t>
  </si>
  <si>
    <t>2021.04.15 17:08:30,94</t>
  </si>
  <si>
    <t>2021.04.15 17:10:28,70</t>
  </si>
  <si>
    <t>2021.04.15 17:12:20,08</t>
  </si>
  <si>
    <t>2021.04.15 17:14:17,93</t>
  </si>
  <si>
    <t>2021.04.15 17:16:09,31</t>
  </si>
  <si>
    <t>2021.04.15 17:18:06,95</t>
  </si>
  <si>
    <t>2021.04.15 17:19:58,20</t>
  </si>
  <si>
    <t>2021.04.15 17:21:55,92</t>
  </si>
  <si>
    <t>2021.04.15 17:23:47,01</t>
  </si>
  <si>
    <t>2021.04.15 17:25:44,59</t>
  </si>
  <si>
    <t>2021.04.15 17:27:36,23</t>
  </si>
  <si>
    <t>2021.04.15 17:29:33,47</t>
  </si>
  <si>
    <t>2021.04.15 17:31:24,62</t>
  </si>
  <si>
    <t>2021.04.15 17:33:22,35</t>
  </si>
  <si>
    <t>2021.04.15 17:35:13,90</t>
  </si>
  <si>
    <t>2021.04.15 17:37:11,53</t>
  </si>
  <si>
    <t>2021.04.15 17:39:02,77</t>
  </si>
  <si>
    <t>2021.04.15 17:41:00,73</t>
  </si>
  <si>
    <t>2021.04.15 17:42:52,11</t>
  </si>
  <si>
    <t>2021.04.15 17:44:49,92</t>
  </si>
  <si>
    <t>2021.04.15 17:46:41,13</t>
  </si>
  <si>
    <t>2021.04.15 17:48:38,82</t>
  </si>
  <si>
    <t>2021.04.15 17:50:30,29</t>
  </si>
  <si>
    <t>2021.04.15 17:52:28,36</t>
  </si>
  <si>
    <t>2021.04.15 17:54:19,52</t>
  </si>
  <si>
    <t>2021.04.15 17:56:17,18</t>
  </si>
  <si>
    <t>2021.04.15 17:58:08,28</t>
  </si>
  <si>
    <t>2021.04.15 18:00:06,20</t>
  </si>
  <si>
    <t>2021.04.15 18:01:57,22</t>
  </si>
  <si>
    <t>2021.04.15 18:03:54,96</t>
  </si>
  <si>
    <t>2021.04.15 18:05:46,20</t>
  </si>
  <si>
    <t>2021.04.15 18:07:43,81</t>
  </si>
  <si>
    <t>2021.04.15 18:09:34,96</t>
  </si>
  <si>
    <t>2021.04.15 18:11:32,47</t>
  </si>
  <si>
    <t>2021.04.15 18:13:23,75</t>
  </si>
  <si>
    <t>2021.04.15 18:15:21,65</t>
  </si>
  <si>
    <t>2021.04.15 18:17:12,81</t>
  </si>
  <si>
    <t>2021.04.15 18:19:10,60</t>
  </si>
  <si>
    <t>2021.04.15 18:21:01,90</t>
  </si>
  <si>
    <t>2021.04.15 18:22:59,58</t>
  </si>
  <si>
    <t>2021.04.15 18:24:50,74</t>
  </si>
  <si>
    <t>2021.04.15 18:26:48,69</t>
  </si>
  <si>
    <t>2021.04.15 18:28:39,95</t>
  </si>
  <si>
    <t>2021.04.15 18:30:37,96</t>
  </si>
  <si>
    <t>2021.04.15 18:32:28,94</t>
  </si>
  <si>
    <t>2021.04.15 18:34:26,58</t>
  </si>
  <si>
    <t>2021.04.15 18:36:17,65</t>
  </si>
  <si>
    <t>2021.04.15 18:38:15,71</t>
  </si>
  <si>
    <t>2021.04.15 18:40:07,04</t>
  </si>
  <si>
    <t>2021.04.15 18:42:04,86</t>
  </si>
  <si>
    <t>2021.04.15 18:43:56,26</t>
  </si>
  <si>
    <t>2021.04.15 18:45:53,90</t>
  </si>
  <si>
    <t>2021.04.15 18:47:44,99</t>
  </si>
  <si>
    <t>2021.04.15 18:49:42,75</t>
  </si>
  <si>
    <t>2021.04.15 18:51:33,85</t>
  </si>
  <si>
    <t>2021.04.15 18:53:31,79</t>
  </si>
  <si>
    <t>2021.04.15 18:55:22,89</t>
  </si>
  <si>
    <t>2021.04.15 18:57:20,42</t>
  </si>
  <si>
    <t>2021.04.15 18:59:11,71</t>
  </si>
  <si>
    <t>2021.04.15 19:01:09,53</t>
  </si>
  <si>
    <t>2021.04.15 19:03:00,57</t>
  </si>
  <si>
    <t>2021.04.15 19:04:58,33</t>
  </si>
  <si>
    <t>2021.04.15 19:06:49,76</t>
  </si>
  <si>
    <t>2021.04.15 19:08:47,28</t>
  </si>
  <si>
    <t>2021.04.15 19:10:38,39</t>
  </si>
  <si>
    <t>2021.04.15 19:12:36,35</t>
  </si>
  <si>
    <t>2021.04.15 19:14:27,46</t>
  </si>
  <si>
    <t>2021.04.15 19:16:25,40</t>
  </si>
  <si>
    <t>2021.04.15 19:18:16,56</t>
  </si>
  <si>
    <t>2021.04.15 19:20:14,27</t>
  </si>
  <si>
    <t>2021.04.15 19:22:05,36</t>
  </si>
  <si>
    <t>2021.04.15 19:24:03,30</t>
  </si>
  <si>
    <t>2021.04.15 19:25:54,72</t>
  </si>
  <si>
    <t>2021.04.15 19:27:52,73</t>
  </si>
  <si>
    <t>2021.04.15 19:29:43,95</t>
  </si>
  <si>
    <t>2021.04.15 19:31:41,66</t>
  </si>
  <si>
    <t>2021.04.15 19:33:39,87</t>
  </si>
  <si>
    <t>2021.04.15 19:35:30,93</t>
  </si>
  <si>
    <t>2021.04.15 19:37:28,72</t>
  </si>
  <si>
    <t>2021.04.15 19:39:20,27</t>
  </si>
  <si>
    <t>2021.04.15 19:41:18,21</t>
  </si>
  <si>
    <t>2021.04.15 19:43:09,68</t>
  </si>
  <si>
    <t>2021.04.15 19:45:07,45</t>
  </si>
  <si>
    <t>2021.04.15 19:46:58,71</t>
  </si>
  <si>
    <t>2021.04.15 19:48:56,76</t>
  </si>
  <si>
    <t>2021.04.15 19:50:48,23</t>
  </si>
  <si>
    <t>2021.04.15 19:52:46,09</t>
  </si>
  <si>
    <t>2021.04.15 19:54:37,34</t>
  </si>
  <si>
    <t>2021.04.15 19:56:34,97</t>
  </si>
  <si>
    <t>2021.04.15 19:58:26,30</t>
  </si>
  <si>
    <t>2021.04.15 20:00:24,18</t>
  </si>
  <si>
    <t>2021.04.15 20:02:15,42</t>
  </si>
  <si>
    <t>2021.04.15 20:04:13,12</t>
  </si>
  <si>
    <t>2021.04.15 20:06:04,44</t>
  </si>
  <si>
    <t>2021.04.15 20:08:02,06</t>
  </si>
  <si>
    <t>2021.04.15 20:09:53,32</t>
  </si>
  <si>
    <t>2021.04.15 20:11:51,37</t>
  </si>
  <si>
    <t>2021.04.15 20:13:42,51</t>
  </si>
  <si>
    <t>2021.04.15 20:15:40,34</t>
  </si>
  <si>
    <t>2021.04.15 20:17:31,54</t>
  </si>
  <si>
    <t>2021.04.15 20:19:29,02</t>
  </si>
  <si>
    <t>2021.04.15 20:21:20,34</t>
  </si>
  <si>
    <t>2021.04.15 20:23:18,24</t>
  </si>
  <si>
    <t>2021.04.15 20:25:09,46</t>
  </si>
  <si>
    <t>2021.04.15 20:27:07,26</t>
  </si>
  <si>
    <t>2021.04.15 20:28:58,57</t>
  </si>
  <si>
    <t>2021.04.15 20:30:56,31</t>
  </si>
  <si>
    <t>2021.04.15 20:32:47,60</t>
  </si>
  <si>
    <t>2021.04.15 20:34:45,33</t>
  </si>
  <si>
    <t>2021.04.15 20:36:36,37</t>
  </si>
  <si>
    <t>2021.04.15 20:38:34,30</t>
  </si>
  <si>
    <t>2021.04.15 20:40:25,97</t>
  </si>
  <si>
    <t>2021.04.15 20:42:24,22</t>
  </si>
  <si>
    <t>2021.04.15 20:44:15,16</t>
  </si>
  <si>
    <t>2021.04.15 20:46:13,24</t>
  </si>
  <si>
    <t>2021.04.15 20:48:11,43</t>
  </si>
  <si>
    <t>2021.04.15 20:50:02,73</t>
  </si>
  <si>
    <t>2021.04.15 20:52:00,79</t>
  </si>
  <si>
    <t>2021.04.15 20:53:52,24</t>
  </si>
  <si>
    <t>2021.04.15 20:55:50,25</t>
  </si>
  <si>
    <t>2021.04.15 20:57:41,57</t>
  </si>
  <si>
    <t>2021.04.15 20:59:39,63</t>
  </si>
  <si>
    <t>2021.04.15 21:01:30,95</t>
  </si>
  <si>
    <t>2021.04.15 21:03:28,84</t>
  </si>
  <si>
    <t>2021.04.15 21:05:19,93</t>
  </si>
  <si>
    <t>2021.04.15 21:07:17,68</t>
  </si>
  <si>
    <t>2021.04.15 21:09:10,33</t>
  </si>
  <si>
    <t>2021.04.15 21:11:09,49</t>
  </si>
  <si>
    <t>2021.04.15 21:13:01,83</t>
  </si>
  <si>
    <t>2021.04.15 21:15:00,68</t>
  </si>
  <si>
    <t>2021.04.15 21:16:53,19</t>
  </si>
  <si>
    <t>2021.04.15 21:18:52,65</t>
  </si>
  <si>
    <t>2021.04.15 21:20:44,87</t>
  </si>
  <si>
    <t>2021.04.15 21:22:43,97</t>
  </si>
  <si>
    <t>2021.04.15 21:24:42,98</t>
  </si>
  <si>
    <t>2021.04.15 21:26:35,49</t>
  </si>
  <si>
    <t>2021.04.15 21:28:34,55</t>
  </si>
  <si>
    <t>2021.04.15 21:30:26,87</t>
  </si>
  <si>
    <t>2021.04.15 21:32:26,37</t>
  </si>
  <si>
    <t>2021.04.15 21:34:19,12</t>
  </si>
  <si>
    <t>2021.04.15 21:36:18,14</t>
  </si>
  <si>
    <t>2021.04.15 21:38:10,62</t>
  </si>
  <si>
    <t>2021.04.15 21:40:09,63</t>
  </si>
  <si>
    <t>2021.04.15 21:42:02,10</t>
  </si>
  <si>
    <t>2021.04.15 21:44:00,99</t>
  </si>
  <si>
    <t>2021.04.15 21:45:53,42</t>
  </si>
  <si>
    <t>2021.04.15 21:47:52,37</t>
  </si>
  <si>
    <t>2021.04.15 21:49:44,87</t>
  </si>
  <si>
    <t>2021.04.15 21:51:43,83</t>
  </si>
  <si>
    <t>2021.04.15 21:53:43,08</t>
  </si>
  <si>
    <t>2021.04.15 21:55:35,39</t>
  </si>
  <si>
    <t>2021.04.15 21:57:34,09</t>
  </si>
  <si>
    <t>2021.04.15 21:59:26,70</t>
  </si>
  <si>
    <t>2021.04.15 22:01:26,19</t>
  </si>
  <si>
    <t>2021.04.15 22:03:18,49</t>
  </si>
  <si>
    <t>2021.04.15 22:05:17,33</t>
  </si>
  <si>
    <t>2021.04.15 22:07:09,61</t>
  </si>
  <si>
    <t>2021.04.15 22:09:08,70</t>
  </si>
  <si>
    <t>2021.04.15 22:11:01,24</t>
  </si>
  <si>
    <t>2021.04.15 22:13:00,26</t>
  </si>
  <si>
    <t>2021.04.15 22:14:52,54</t>
  </si>
  <si>
    <t>2021.04.15 22:16:51,53</t>
  </si>
  <si>
    <t>2021.04.15 22:18:43,95</t>
  </si>
  <si>
    <t>2021.04.15 22:20:42,83</t>
  </si>
  <si>
    <t>2021.04.15 22:22:41,84</t>
  </si>
  <si>
    <t>2021.04.15 22:24:34,40</t>
  </si>
  <si>
    <t>2021.04.15 22:26:33,16</t>
  </si>
  <si>
    <t>2021.04.15 22:28:25,68</t>
  </si>
  <si>
    <t>2021.04.15 22:30:24,88</t>
  </si>
  <si>
    <t>Number</t>
  </si>
  <si>
    <t>Integrated Region</t>
  </si>
  <si>
    <t>Integral</t>
  </si>
  <si>
    <t>Compound</t>
  </si>
  <si>
    <t># H's</t>
  </si>
  <si>
    <t>type</t>
  </si>
  <si>
    <t>Peaks</t>
  </si>
  <si>
    <t>other corrections</t>
  </si>
  <si>
    <t>Formate</t>
  </si>
  <si>
    <t>HMDB0000142</t>
  </si>
  <si>
    <t>s</t>
  </si>
  <si>
    <t>Uracil</t>
  </si>
  <si>
    <t>HMDB0000300</t>
  </si>
  <si>
    <t>d</t>
  </si>
  <si>
    <t>2 (+ d)</t>
  </si>
  <si>
    <t>AA?</t>
  </si>
  <si>
    <t>N-Carbamoylaspartate?</t>
  </si>
  <si>
    <t>HMDB0000828</t>
  </si>
  <si>
    <t>5 (+ 4x d)</t>
  </si>
  <si>
    <t>Orotate</t>
  </si>
  <si>
    <t>HMDB0000226</t>
  </si>
  <si>
    <t>?</t>
  </si>
  <si>
    <t>HMDB0000122</t>
  </si>
  <si>
    <t>9 (+1d, 4m, 3dd)</t>
  </si>
  <si>
    <t>1,3-Dihydroxyacetone</t>
  </si>
  <si>
    <t>HMDB0001882</t>
  </si>
  <si>
    <t>HMDB0000108</t>
  </si>
  <si>
    <t>q</t>
  </si>
  <si>
    <t>2 (+t)</t>
  </si>
  <si>
    <t>dd</t>
  </si>
  <si>
    <t>9 (+2d, 4m, 2dd)</t>
  </si>
  <si>
    <t>N-Carbamoylaspartate 1 ?</t>
  </si>
  <si>
    <t>5 (+ 3x d, 1s)</t>
  </si>
  <si>
    <t>Citrate ?</t>
  </si>
  <si>
    <t>HMDB0000094</t>
  </si>
  <si>
    <t>2 (+d)</t>
  </si>
  <si>
    <t>Succinate</t>
  </si>
  <si>
    <t>HMDB0000254</t>
  </si>
  <si>
    <t>HMDB0000243</t>
  </si>
  <si>
    <t>HMDB0000237</t>
  </si>
  <si>
    <t>2(+t)</t>
  </si>
  <si>
    <t>N-Acetylaspartate?</t>
  </si>
  <si>
    <t>HMDB0000812</t>
  </si>
  <si>
    <t>5(+d,m,2dd)</t>
  </si>
  <si>
    <t>Acetate</t>
  </si>
  <si>
    <t>HMDB0000042</t>
  </si>
  <si>
    <t>Ethanol 1</t>
  </si>
  <si>
    <t>t</t>
  </si>
  <si>
    <t>TSP</t>
  </si>
  <si>
    <t>TSP concentration mmol/l:</t>
  </si>
  <si>
    <t>medium yl</t>
  </si>
  <si>
    <t>TSP in  sample</t>
  </si>
  <si>
    <t>D2O/TSO yl</t>
  </si>
  <si>
    <t>Before incoulation</t>
  </si>
  <si>
    <r>
      <t>Dry (at 120 °C) and weigh the aluminum pans beforehand. Take out 10.0 ml sample. Do one wash with 5 ml 0,9% NaCl. Use MQ-H</t>
    </r>
    <r>
      <rPr>
        <vertAlign val="subscript"/>
        <sz val="12"/>
        <color rgb="FF202124"/>
        <rFont val="Calibri"/>
        <family val="2"/>
        <scheme val="minor"/>
      </rPr>
      <t>2</t>
    </r>
    <r>
      <rPr>
        <sz val="12"/>
        <color rgb="FF202124"/>
        <rFont val="Calibri"/>
        <family val="2"/>
        <scheme val="minor"/>
      </rPr>
      <t>O to dissolve pellet when adding to aluminum pan. Completely dry the samples at 120 °C before taking total weight.</t>
    </r>
  </si>
  <si>
    <t>Pyruvare</t>
  </si>
  <si>
    <t>Propionate</t>
  </si>
  <si>
    <t>α-Glucose</t>
  </si>
  <si>
    <t>HMDB ID</t>
  </si>
  <si>
    <t>Agitation (RPM)</t>
  </si>
  <si>
    <t>DO (%)</t>
  </si>
  <si>
    <t>pH</t>
  </si>
  <si>
    <t>Temp (C)</t>
  </si>
  <si>
    <t>Pump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</si>
  <si>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</si>
  <si>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</si>
  <si>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</si>
  <si>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</si>
  <si>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</si>
  <si>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</si>
  <si>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</si>
  <si>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</si>
  <si>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</si>
  <si>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</si>
  <si>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</si>
  <si>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</si>
  <si>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</si>
  <si>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</si>
  <si>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</si>
  <si>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</si>
  <si>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</si>
  <si>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</si>
  <si>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</si>
  <si>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</si>
  <si>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</si>
  <si>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</si>
  <si>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</si>
  <si>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</si>
  <si>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</si>
  <si>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</si>
  <si>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ZA</t>
  </si>
  <si>
    <t>ZB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</si>
</sst>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;@"/>
  </numFmts>
  <fonts count="2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vertAlign val="subscript"/>
      <sz val="12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vertAlign val="subscript"/>
      <sz val="12"/>
      <color rgb="FF000000"/>
      <name val="Calibri"/>
      <family val="2"/>
      <scheme val="minor"/>
    </font>
    <font>
      <sz val="12"/>
      <color theme="1"/>
      <name val="Symbol"/>
      <family val="1"/>
      <charset val="2"/>
    </font>
    <font>
      <sz val="7"/>
      <color theme="1"/>
      <name val="Times New Roman"/>
      <family val="1"/>
    </font>
    <font>
      <sz val="12"/>
      <color theme="1"/>
      <name val="Calibri"/>
      <family val="2"/>
    </font>
    <font>
      <sz val="12"/>
      <color rgb="FF202124"/>
      <name val="Calibri"/>
      <family val="2"/>
      <scheme val="minor"/>
    </font>
    <font>
      <sz val="12"/>
      <color rgb="FF202124"/>
      <name val="Symbol"/>
      <family val="1"/>
      <charset val="2"/>
    </font>
    <font>
      <sz val="7"/>
      <color rgb="FF202124"/>
      <name val="Times New Roman"/>
      <family val="1"/>
    </font>
    <font>
      <vertAlign val="subscript"/>
      <sz val="12"/>
      <color rgb="FF202124"/>
      <name val="Calibri"/>
      <family val="2"/>
      <scheme val="minor"/>
    </font>
    <font>
      <b/>
      <sz val="12"/>
      <color rgb="FF202124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5F6368"/>
      <name val="Calibri"/>
      <family val="2"/>
      <scheme val="minor"/>
    </font>
    <font>
      <u/>
      <sz val="12"/>
      <color rgb="FF202124"/>
      <name val="Calibri"/>
      <family val="2"/>
      <scheme val="minor"/>
    </font>
    <font>
      <i/>
      <u/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164" fontId="4" fillId="0" borderId="2" xfId="0" applyNumberFormat="1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/>
    <xf numFmtId="164" fontId="4" fillId="4" borderId="2" xfId="0" applyNumberFormat="1" applyFont="1" applyFill="1" applyBorder="1" applyAlignment="1">
      <alignment horizontal="center" vertical="center" wrapText="1"/>
    </xf>
    <xf numFmtId="2" fontId="4" fillId="4" borderId="2" xfId="0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2" fontId="4" fillId="5" borderId="2" xfId="0" applyNumberFormat="1" applyFont="1" applyFill="1" applyBorder="1" applyAlignment="1">
      <alignment horizontal="center" vertical="center" wrapText="1"/>
    </xf>
    <xf numFmtId="0" fontId="1" fillId="0" borderId="0" xfId="0" applyFont="1"/>
    <xf numFmtId="164" fontId="4" fillId="5" borderId="2" xfId="0" applyNumberFormat="1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2" fontId="0" fillId="0" borderId="0" xfId="0" applyNumberFormat="1"/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left" vertical="center" indent="5"/>
    </xf>
    <xf numFmtId="0" fontId="15" fillId="0" borderId="0" xfId="0" applyFont="1" applyAlignment="1">
      <alignment horizontal="left" vertical="center" indent="5"/>
    </xf>
    <xf numFmtId="0" fontId="14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21" fontId="0" fillId="0" borderId="0" xfId="0" applyNumberFormat="1"/>
    <xf numFmtId="4" fontId="0" fillId="0" borderId="0" xfId="0" applyNumberFormat="1"/>
    <xf numFmtId="11" fontId="0" fillId="0" borderId="0" xfId="0" applyNumberFormat="1"/>
    <xf numFmtId="0" fontId="0" fillId="0" borderId="0" xfId="0" quotePrefix="1"/>
    <xf numFmtId="0" fontId="23" fillId="0" borderId="0" xfId="0" applyFont="1"/>
    <xf numFmtId="0" fontId="23" fillId="0" borderId="4" xfId="0" applyFont="1" applyBorder="1"/>
    <xf numFmtId="0" fontId="2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23" fillId="0" borderId="7" xfId="0" applyFont="1" applyBorder="1" applyAlignment="1">
      <alignment horizontal="center"/>
    </xf>
    <xf numFmtId="0" fontId="23" fillId="0" borderId="8" xfId="0" applyFont="1" applyBorder="1" applyAlignment="1">
      <alignment horizontal="center"/>
    </xf>
    <xf numFmtId="0" fontId="23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133350</xdr:colOff>
      <xdr:row>0</xdr:row>
      <xdr:rowOff>161925</xdr:rowOff>
    </xdr:from>
    <xdr:to>
      <xdr:col>14</xdr:col>
      <xdr:colOff>533400</xdr:colOff>
      <xdr:row>1</xdr:row>
      <xdr:rowOff>171450</xdr:rowOff>
    </xdr:to>
    <xdr:sp macro="" textlink="">
      <xdr:nvSpPr>
        <xdr:cNvPr id="4" name="TekstSylinder 1">
          <a:extLst>
            <a:ext uri="{FF2B5EF4-FFF2-40B4-BE49-F238E27FC236}">
              <a16:creationId xmlns:a16="http://schemas.microsoft.com/office/drawing/2014/main" id="{989AB6D1-0E1B-4BBF-8E54-553138F63EF1}"/>
            </a:ext>
          </a:extLst>
        </xdr:cNvPr>
        <xdr:cNvSpPr txBox="1"/>
      </xdr:nvSpPr>
      <xdr:spPr>
        <a:xfrm>
          <a:off x="10496550" y="161925"/>
          <a:ext cx="1866900" cy="79057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1200" b="1">
              <a:solidFill>
                <a:schemeClr val="tx1"/>
              </a:solidFill>
            </a:rPr>
            <a:t>A</a:t>
          </a:r>
          <a:r>
            <a:rPr lang="nb-NO" sz="1200" b="1" baseline="0">
              <a:solidFill>
                <a:schemeClr val="tx1"/>
              </a:solidFill>
            </a:rPr>
            <a:t> media sample was taken right before inoculation. Cryo tube # 0 (OD = 0,027)</a:t>
          </a:r>
          <a:endParaRPr lang="nb-NO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219075</xdr:colOff>
      <xdr:row>2</xdr:row>
      <xdr:rowOff>57150</xdr:rowOff>
    </xdr:from>
    <xdr:to>
      <xdr:col>15</xdr:col>
      <xdr:colOff>523875</xdr:colOff>
      <xdr:row>7</xdr:row>
      <xdr:rowOff>190500</xdr:rowOff>
    </xdr:to>
    <xdr:sp macro="" textlink="">
      <xdr:nvSpPr>
        <xdr:cNvPr id="5" name="TekstSylinder 2">
          <a:extLst>
            <a:ext uri="{FF2B5EF4-FFF2-40B4-BE49-F238E27FC236}">
              <a16:creationId xmlns:a16="http://schemas.microsoft.com/office/drawing/2014/main" id="{76FAD4C9-C99A-4C04-B8F7-223B1E7B64A8}"/>
            </a:ext>
          </a:extLst>
        </xdr:cNvPr>
        <xdr:cNvSpPr txBox="1"/>
      </xdr:nvSpPr>
      <xdr:spPr>
        <a:xfrm>
          <a:off x="10582275" y="1047750"/>
          <a:ext cx="2505075" cy="1181100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1200" b="1">
              <a:solidFill>
                <a:schemeClr val="bg1"/>
              </a:solidFill>
            </a:rPr>
            <a:t>The samples had some</a:t>
          </a:r>
          <a:r>
            <a:rPr lang="nb-NO" sz="1200" b="1" baseline="0">
              <a:solidFill>
                <a:schemeClr val="bg1"/>
              </a:solidFill>
            </a:rPr>
            <a:t> </a:t>
          </a:r>
          <a:r>
            <a:rPr lang="nb-NO" sz="1200" b="1">
              <a:solidFill>
                <a:schemeClr val="bg1"/>
              </a:solidFill>
            </a:rPr>
            <a:t>salt in them</a:t>
          </a:r>
          <a:r>
            <a:rPr lang="nb-NO" sz="1200" b="1" baseline="0">
              <a:solidFill>
                <a:schemeClr val="bg1"/>
              </a:solidFill>
            </a:rPr>
            <a:t>. The dry weight samples after added into aluminum pans appears to still have salt particles left. Might interfere with dry weight. </a:t>
          </a:r>
          <a:endParaRPr lang="nb-NO" sz="1200" b="1">
            <a:solidFill>
              <a:schemeClr val="bg1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8C6F9-8286-4217-8FB1-E43C925E341A}">
  <dimension ref="A1:A16"/>
  <sheetViews>
    <sheetView workbookViewId="0">
      <selection activeCell="A14" sqref="A14"/>
    </sheetView>
  </sheetViews>
  <sheetFormatPr defaultColWidth="10.6640625" defaultRowHeight="14.4" x14ac:dyDescent="0.3"/>
  <cols>
    <col min="1" max="1" width="16.6640625" customWidth="1"/>
    <col min="2" max="2" width="18.6640625" customWidth="1"/>
    <col min="3" max="3" width="15.5546875" customWidth="1"/>
    <col min="4" max="4" width="17.6640625" customWidth="1"/>
  </cols>
  <sheetData>
    <row r="1" spans="1:1" ht="15.6" x14ac:dyDescent="0.3">
      <c r="A1" s="13" t="s">
        <v>15</v>
      </c>
    </row>
    <row r="2" spans="1:1" ht="15.6" x14ac:dyDescent="0.3">
      <c r="A2" s="15" t="s">
        <v>16</v>
      </c>
    </row>
    <row r="3" spans="1:1" ht="15.6" x14ac:dyDescent="0.3">
      <c r="A3" s="15" t="s">
        <v>17</v>
      </c>
    </row>
    <row r="4" spans="1:1" ht="15.6" x14ac:dyDescent="0.3">
      <c r="A4" s="15" t="s">
        <v>18</v>
      </c>
    </row>
    <row r="5" spans="1:1" ht="18" x14ac:dyDescent="0.3">
      <c r="A5" s="16" t="s">
        <v>19</v>
      </c>
    </row>
    <row r="6" spans="1:1" ht="15.6" x14ac:dyDescent="0.3">
      <c r="A6" s="17"/>
    </row>
    <row r="7" spans="1:1" ht="15.6" x14ac:dyDescent="0.3">
      <c r="A7" s="18" t="s">
        <v>20</v>
      </c>
    </row>
    <row r="8" spans="1:1" ht="18" x14ac:dyDescent="0.3">
      <c r="A8" s="17" t="s">
        <v>21</v>
      </c>
    </row>
    <row r="9" spans="1:1" ht="15.6" x14ac:dyDescent="0.3">
      <c r="A9" s="19" t="s">
        <v>22</v>
      </c>
    </row>
    <row r="10" spans="1:1" x14ac:dyDescent="0.3">
      <c r="A10" s="14"/>
    </row>
    <row r="11" spans="1:1" ht="15.6" x14ac:dyDescent="0.3">
      <c r="A11" s="18" t="s">
        <v>23</v>
      </c>
    </row>
    <row r="12" spans="1:1" ht="15.6" x14ac:dyDescent="0.3">
      <c r="A12" s="20" t="s">
        <v>24</v>
      </c>
    </row>
    <row r="13" spans="1:1" ht="18" x14ac:dyDescent="0.3">
      <c r="A13" s="17" t="s">
        <v>537</v>
      </c>
    </row>
    <row r="14" spans="1:1" ht="15.6" x14ac:dyDescent="0.3">
      <c r="A14" s="21" t="s">
        <v>25</v>
      </c>
    </row>
    <row r="15" spans="1:1" ht="15.6" x14ac:dyDescent="0.3">
      <c r="A15" s="22" t="s">
        <v>26</v>
      </c>
    </row>
    <row r="16" spans="1:1" ht="21" x14ac:dyDescent="0.3">
      <c r="A16" s="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A5F7E-B560-4FBA-812C-02565A34F9D5}">
  <dimension ref="A1:K29"/>
  <sheetViews>
    <sheetView workbookViewId="0">
      <selection activeCell="K2" sqref="A2:XFD2"/>
    </sheetView>
  </sheetViews>
  <sheetFormatPr defaultColWidth="10.6640625" defaultRowHeight="14.4" x14ac:dyDescent="0.3"/>
  <cols>
    <col min="1" max="1" width="12.6640625" bestFit="1" customWidth="1"/>
    <col min="2" max="2" width="12.6640625" style="12" bestFit="1" customWidth="1"/>
    <col min="7" max="7" width="14.33203125" customWidth="1"/>
    <col min="8" max="8" width="15.5546875" customWidth="1"/>
    <col min="9" max="9" width="11.44140625" customWidth="1"/>
    <col min="10" max="10" width="20.44140625" customWidth="1"/>
  </cols>
  <sheetData>
    <row r="1" spans="1:11" ht="14.4" customHeight="1" x14ac:dyDescent="0.3">
      <c r="A1" s="30" t="s">
        <v>0</v>
      </c>
      <c r="B1" s="31" t="s">
        <v>1</v>
      </c>
      <c r="C1" s="30" t="s">
        <v>2</v>
      </c>
      <c r="D1" s="32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</row>
    <row r="2" spans="1:11" ht="16.2" thickBot="1" x14ac:dyDescent="0.35">
      <c r="A2" s="1">
        <v>0.35416666666666669</v>
      </c>
      <c r="B2" s="2">
        <v>0</v>
      </c>
      <c r="C2" s="3">
        <v>0.18</v>
      </c>
      <c r="D2" s="3"/>
      <c r="E2" s="3"/>
      <c r="F2" s="3"/>
      <c r="G2" s="3">
        <v>60</v>
      </c>
      <c r="H2" s="3">
        <v>1</v>
      </c>
      <c r="I2" s="3"/>
      <c r="J2" s="3">
        <v>10</v>
      </c>
      <c r="K2" s="4" t="s">
        <v>10</v>
      </c>
    </row>
    <row r="3" spans="1:11" ht="16.2" thickBot="1" x14ac:dyDescent="0.35">
      <c r="A3" s="5">
        <v>0.375</v>
      </c>
      <c r="B3" s="6">
        <v>0.5</v>
      </c>
      <c r="C3" s="7">
        <v>0.21199999999999999</v>
      </c>
      <c r="D3" s="7"/>
      <c r="E3" s="7"/>
      <c r="F3" s="7"/>
      <c r="G3" s="7">
        <v>60</v>
      </c>
      <c r="H3" s="7">
        <v>2</v>
      </c>
      <c r="I3" s="7"/>
      <c r="J3" s="7">
        <v>5</v>
      </c>
    </row>
    <row r="4" spans="1:11" ht="16.2" thickBot="1" x14ac:dyDescent="0.35">
      <c r="A4" s="1">
        <v>0.39583333333333298</v>
      </c>
      <c r="B4" s="8">
        <v>1</v>
      </c>
      <c r="C4" s="3">
        <v>0.249</v>
      </c>
      <c r="D4" s="3">
        <v>1722.08</v>
      </c>
      <c r="E4" s="3">
        <v>1734.17</v>
      </c>
      <c r="F4" s="3"/>
      <c r="G4" s="3">
        <v>59</v>
      </c>
      <c r="H4" s="3">
        <v>3</v>
      </c>
      <c r="I4" s="3">
        <v>1</v>
      </c>
      <c r="J4" s="3">
        <v>15</v>
      </c>
    </row>
    <row r="5" spans="1:11" ht="16.2" thickBot="1" x14ac:dyDescent="0.35">
      <c r="A5" s="5">
        <v>0.41666666666666702</v>
      </c>
      <c r="B5" s="6">
        <v>1.5</v>
      </c>
      <c r="C5" s="7">
        <v>0.34399999999999997</v>
      </c>
      <c r="D5" s="7"/>
      <c r="E5" s="7"/>
      <c r="F5" s="7"/>
      <c r="G5" s="7">
        <v>59</v>
      </c>
      <c r="H5" s="7">
        <v>4</v>
      </c>
      <c r="I5" s="7"/>
      <c r="J5" s="7">
        <v>5</v>
      </c>
    </row>
    <row r="6" spans="1:11" ht="16.2" thickBot="1" x14ac:dyDescent="0.35">
      <c r="A6" s="1">
        <v>0.4375</v>
      </c>
      <c r="B6" s="2">
        <v>2</v>
      </c>
      <c r="C6" s="3">
        <v>0.41699999999999998</v>
      </c>
      <c r="D6" s="3">
        <v>1710.74</v>
      </c>
      <c r="E6" s="3">
        <v>1714.1</v>
      </c>
      <c r="F6" s="3">
        <f t="shared" ref="F6:F27" si="0">E6-D6</f>
        <v>3.3599999999999</v>
      </c>
      <c r="G6" s="3">
        <v>59</v>
      </c>
      <c r="H6" s="3">
        <v>5</v>
      </c>
      <c r="I6" s="3">
        <v>2</v>
      </c>
      <c r="J6" s="3">
        <v>15</v>
      </c>
    </row>
    <row r="7" spans="1:11" ht="16.2" thickBot="1" x14ac:dyDescent="0.35">
      <c r="A7" s="5">
        <v>0.45833333333333398</v>
      </c>
      <c r="B7" s="6">
        <v>2.5</v>
      </c>
      <c r="C7" s="7">
        <v>0.52100000000000002</v>
      </c>
      <c r="D7" s="7"/>
      <c r="E7" s="7"/>
      <c r="F7" s="7"/>
      <c r="G7" s="7">
        <v>58</v>
      </c>
      <c r="H7" s="7">
        <v>6</v>
      </c>
      <c r="I7" s="7"/>
      <c r="J7" s="7">
        <v>5</v>
      </c>
    </row>
    <row r="8" spans="1:11" ht="16.2" thickBot="1" x14ac:dyDescent="0.35">
      <c r="A8" s="1">
        <v>0.47916666666666702</v>
      </c>
      <c r="B8" s="8">
        <v>3</v>
      </c>
      <c r="C8" s="3">
        <v>0.80200000000000005</v>
      </c>
      <c r="D8" s="3">
        <v>1718.32</v>
      </c>
      <c r="E8" s="3">
        <v>1730.76</v>
      </c>
      <c r="F8" s="3"/>
      <c r="G8" s="3">
        <v>57</v>
      </c>
      <c r="H8" s="3">
        <v>7</v>
      </c>
      <c r="I8" s="3">
        <v>3</v>
      </c>
      <c r="J8" s="3">
        <v>15</v>
      </c>
    </row>
    <row r="9" spans="1:11" ht="16.2" thickBot="1" x14ac:dyDescent="0.35">
      <c r="A9" s="5">
        <v>0.5</v>
      </c>
      <c r="B9" s="6">
        <v>3.5</v>
      </c>
      <c r="C9" s="7">
        <v>1.085</v>
      </c>
      <c r="D9" s="7"/>
      <c r="E9" s="7"/>
      <c r="F9" s="7"/>
      <c r="G9" s="7">
        <v>57</v>
      </c>
      <c r="H9" s="7">
        <v>8</v>
      </c>
      <c r="I9" s="7"/>
      <c r="J9" s="7">
        <v>5</v>
      </c>
    </row>
    <row r="10" spans="1:11" ht="16.2" thickBot="1" x14ac:dyDescent="0.35">
      <c r="A10" s="1">
        <v>0.52083333333333404</v>
      </c>
      <c r="B10" s="2">
        <v>4</v>
      </c>
      <c r="C10" s="3">
        <v>1.5449999999999999</v>
      </c>
      <c r="D10" s="3">
        <v>1739.03</v>
      </c>
      <c r="E10" s="3">
        <v>1747.27</v>
      </c>
      <c r="F10" s="3">
        <f t="shared" si="0"/>
        <v>8.2400000000000091</v>
      </c>
      <c r="G10" s="3">
        <v>56</v>
      </c>
      <c r="H10" s="3">
        <v>9</v>
      </c>
      <c r="I10" s="3">
        <v>4</v>
      </c>
      <c r="J10" s="3">
        <v>15</v>
      </c>
    </row>
    <row r="11" spans="1:11" ht="16.2" thickBot="1" x14ac:dyDescent="0.35">
      <c r="A11" s="5">
        <v>0.54166666666666696</v>
      </c>
      <c r="B11" s="6">
        <v>4.5</v>
      </c>
      <c r="C11" s="7">
        <v>2.15</v>
      </c>
      <c r="D11" s="7">
        <v>1701.58</v>
      </c>
      <c r="E11" s="7">
        <v>1712.12</v>
      </c>
      <c r="F11" s="7">
        <f t="shared" si="0"/>
        <v>10.539999999999964</v>
      </c>
      <c r="G11" s="7">
        <v>54</v>
      </c>
      <c r="H11" s="7">
        <v>10</v>
      </c>
      <c r="I11" s="7">
        <v>5</v>
      </c>
      <c r="J11" s="7">
        <v>15</v>
      </c>
    </row>
    <row r="12" spans="1:11" ht="16.2" thickBot="1" x14ac:dyDescent="0.35">
      <c r="A12" s="1">
        <v>0.5625</v>
      </c>
      <c r="B12" s="8">
        <v>5</v>
      </c>
      <c r="C12" s="3">
        <v>3.11</v>
      </c>
      <c r="D12" s="3">
        <v>1716.71</v>
      </c>
      <c r="E12" s="3">
        <v>1732.19</v>
      </c>
      <c r="F12" s="3">
        <f t="shared" si="0"/>
        <v>15.480000000000018</v>
      </c>
      <c r="G12" s="3">
        <v>53</v>
      </c>
      <c r="H12" s="3">
        <v>11</v>
      </c>
      <c r="I12" s="3">
        <v>6</v>
      </c>
      <c r="J12" s="3">
        <v>15</v>
      </c>
      <c r="K12" s="9" t="s">
        <v>11</v>
      </c>
    </row>
    <row r="13" spans="1:11" ht="16.2" thickBot="1" x14ac:dyDescent="0.35">
      <c r="A13" s="5">
        <v>0.58333333333333304</v>
      </c>
      <c r="B13" s="6">
        <v>5.5</v>
      </c>
      <c r="C13" s="7">
        <v>4.2</v>
      </c>
      <c r="D13" s="7">
        <v>1677.99</v>
      </c>
      <c r="E13" s="7">
        <v>1717.31</v>
      </c>
      <c r="F13" s="7"/>
      <c r="G13" s="7">
        <v>50</v>
      </c>
      <c r="H13" s="7">
        <v>12</v>
      </c>
      <c r="I13" s="7">
        <v>7</v>
      </c>
      <c r="J13" s="7">
        <v>15</v>
      </c>
    </row>
    <row r="14" spans="1:11" ht="16.2" thickBot="1" x14ac:dyDescent="0.35">
      <c r="A14" s="1">
        <v>0.60416666666666696</v>
      </c>
      <c r="B14" s="2">
        <v>6</v>
      </c>
      <c r="C14" s="3">
        <v>5.71</v>
      </c>
      <c r="D14" s="3">
        <v>1728.63</v>
      </c>
      <c r="E14" s="3">
        <v>1752.47</v>
      </c>
      <c r="F14" s="3">
        <f t="shared" si="0"/>
        <v>23.839999999999918</v>
      </c>
      <c r="G14" s="3">
        <v>48</v>
      </c>
      <c r="H14" s="3">
        <v>13</v>
      </c>
      <c r="I14" s="3">
        <v>8</v>
      </c>
      <c r="J14" s="3">
        <v>15</v>
      </c>
    </row>
    <row r="15" spans="1:11" ht="16.2" thickBot="1" x14ac:dyDescent="0.35">
      <c r="A15" s="5">
        <v>0.625</v>
      </c>
      <c r="B15" s="6">
        <v>6.5</v>
      </c>
      <c r="C15" s="7">
        <v>8.34</v>
      </c>
      <c r="D15" s="7">
        <v>1723.64</v>
      </c>
      <c r="E15" s="7">
        <v>1757.32</v>
      </c>
      <c r="F15" s="7">
        <f t="shared" si="0"/>
        <v>33.679999999999836</v>
      </c>
      <c r="G15" s="7">
        <v>44</v>
      </c>
      <c r="H15" s="7">
        <v>14</v>
      </c>
      <c r="I15" s="7">
        <v>9</v>
      </c>
      <c r="J15" s="7">
        <v>15</v>
      </c>
    </row>
    <row r="16" spans="1:11" ht="16.2" thickBot="1" x14ac:dyDescent="0.35">
      <c r="A16" s="1">
        <v>0.64583333333333304</v>
      </c>
      <c r="B16" s="8">
        <v>7</v>
      </c>
      <c r="C16" s="3">
        <v>10.98</v>
      </c>
      <c r="D16" s="3">
        <v>1705.58</v>
      </c>
      <c r="E16" s="3">
        <v>1748.61</v>
      </c>
      <c r="F16" s="3">
        <f t="shared" si="0"/>
        <v>43.029999999999973</v>
      </c>
      <c r="G16" s="3">
        <v>38</v>
      </c>
      <c r="H16" s="3">
        <v>15</v>
      </c>
      <c r="I16" s="3">
        <v>10</v>
      </c>
      <c r="J16" s="3">
        <v>15</v>
      </c>
    </row>
    <row r="17" spans="1:11" ht="16.2" thickBot="1" x14ac:dyDescent="0.35">
      <c r="A17" s="5">
        <v>0.66666666666666696</v>
      </c>
      <c r="B17" s="6">
        <v>7.5</v>
      </c>
      <c r="C17" s="7">
        <v>15.8</v>
      </c>
      <c r="D17" s="7">
        <v>1713.42</v>
      </c>
      <c r="E17" s="7">
        <v>1766.43</v>
      </c>
      <c r="F17" s="7">
        <f t="shared" si="0"/>
        <v>53.009999999999991</v>
      </c>
      <c r="G17" s="7">
        <v>32</v>
      </c>
      <c r="H17" s="7">
        <v>16</v>
      </c>
      <c r="I17" s="7">
        <v>11</v>
      </c>
      <c r="J17" s="7">
        <v>15</v>
      </c>
    </row>
    <row r="18" spans="1:11" ht="16.2" thickBot="1" x14ac:dyDescent="0.35">
      <c r="A18" s="1">
        <v>0.6875</v>
      </c>
      <c r="B18" s="2">
        <v>8</v>
      </c>
      <c r="C18" s="3">
        <v>21.9</v>
      </c>
      <c r="D18" s="3">
        <v>1711.15</v>
      </c>
      <c r="E18" s="3">
        <v>1787.46</v>
      </c>
      <c r="F18" s="3">
        <f t="shared" si="0"/>
        <v>76.309999999999945</v>
      </c>
      <c r="G18" s="3">
        <v>26</v>
      </c>
      <c r="H18" s="3">
        <v>17</v>
      </c>
      <c r="I18" s="3">
        <v>12</v>
      </c>
      <c r="J18" s="3">
        <v>15</v>
      </c>
      <c r="K18" s="9" t="s">
        <v>12</v>
      </c>
    </row>
    <row r="19" spans="1:11" ht="16.2" thickBot="1" x14ac:dyDescent="0.35">
      <c r="A19" s="5">
        <v>0.70833333333333304</v>
      </c>
      <c r="B19" s="6">
        <v>8.5</v>
      </c>
      <c r="C19" s="7">
        <v>29.4</v>
      </c>
      <c r="D19" s="7">
        <v>1728.84</v>
      </c>
      <c r="E19" s="7">
        <v>1819.17</v>
      </c>
      <c r="F19" s="7">
        <f t="shared" si="0"/>
        <v>90.330000000000155</v>
      </c>
      <c r="G19" s="7">
        <v>40</v>
      </c>
      <c r="H19" s="7">
        <v>18</v>
      </c>
      <c r="I19" s="7">
        <v>13</v>
      </c>
      <c r="J19" s="7">
        <v>15</v>
      </c>
      <c r="K19" s="9" t="s">
        <v>13</v>
      </c>
    </row>
    <row r="20" spans="1:11" ht="16.2" thickBot="1" x14ac:dyDescent="0.35">
      <c r="A20" s="10">
        <v>0.72916666666666596</v>
      </c>
      <c r="B20" s="2">
        <v>9</v>
      </c>
      <c r="C20" s="3">
        <v>24.3</v>
      </c>
      <c r="D20" s="3">
        <v>1723.41</v>
      </c>
      <c r="E20" s="3">
        <v>1817</v>
      </c>
      <c r="F20" s="3"/>
      <c r="G20" s="3">
        <v>40</v>
      </c>
      <c r="H20" s="3">
        <v>19</v>
      </c>
      <c r="I20" s="3">
        <v>14</v>
      </c>
      <c r="J20" s="3">
        <v>15</v>
      </c>
    </row>
    <row r="21" spans="1:11" ht="16.2" thickBot="1" x14ac:dyDescent="0.35">
      <c r="A21" s="5">
        <v>0.749999999999999</v>
      </c>
      <c r="B21" s="6">
        <v>9.5</v>
      </c>
      <c r="C21" s="7">
        <v>24.3</v>
      </c>
      <c r="D21" s="7">
        <v>1731.95</v>
      </c>
      <c r="E21" s="7">
        <v>1823.72</v>
      </c>
      <c r="F21" s="11"/>
      <c r="G21" s="7">
        <v>40</v>
      </c>
      <c r="H21" s="7">
        <v>20</v>
      </c>
      <c r="I21" s="11">
        <v>15</v>
      </c>
      <c r="J21" s="7">
        <v>15</v>
      </c>
    </row>
    <row r="22" spans="1:11" ht="16.2" thickBot="1" x14ac:dyDescent="0.35">
      <c r="A22" s="10">
        <v>0.77083333333333204</v>
      </c>
      <c r="B22" s="2">
        <v>10</v>
      </c>
      <c r="C22" s="3">
        <v>28.6</v>
      </c>
      <c r="D22" s="3">
        <v>1722.38</v>
      </c>
      <c r="E22" s="3">
        <v>1810.86</v>
      </c>
      <c r="F22" s="3">
        <f t="shared" si="0"/>
        <v>88.479999999999791</v>
      </c>
      <c r="G22" s="3">
        <v>40</v>
      </c>
      <c r="H22" s="3">
        <v>21</v>
      </c>
      <c r="I22" s="3">
        <v>16</v>
      </c>
      <c r="J22" s="3">
        <v>15</v>
      </c>
    </row>
    <row r="23" spans="1:11" ht="16.2" thickBot="1" x14ac:dyDescent="0.35">
      <c r="A23" s="5">
        <v>0.79166666666666496</v>
      </c>
      <c r="B23" s="6">
        <v>10.5</v>
      </c>
      <c r="C23" s="7">
        <v>24.4</v>
      </c>
      <c r="D23" s="7">
        <v>1722.5</v>
      </c>
      <c r="E23" s="7">
        <v>1803.01</v>
      </c>
      <c r="F23" s="11"/>
      <c r="G23" s="7">
        <v>40</v>
      </c>
      <c r="H23" s="7">
        <v>22</v>
      </c>
      <c r="I23" s="11">
        <v>17</v>
      </c>
      <c r="J23" s="7">
        <v>15</v>
      </c>
    </row>
    <row r="24" spans="1:11" ht="16.2" thickBot="1" x14ac:dyDescent="0.35">
      <c r="A24" s="1">
        <v>0.812499999999998</v>
      </c>
      <c r="B24" s="2">
        <v>11</v>
      </c>
      <c r="C24" s="3">
        <v>23.7</v>
      </c>
      <c r="D24" s="3">
        <v>1732.09</v>
      </c>
      <c r="E24" s="3">
        <v>1819.65</v>
      </c>
      <c r="F24" s="3"/>
      <c r="G24" s="3">
        <v>40</v>
      </c>
      <c r="H24" s="3">
        <v>23</v>
      </c>
      <c r="I24" s="3">
        <v>18</v>
      </c>
      <c r="J24" s="3">
        <v>15</v>
      </c>
    </row>
    <row r="25" spans="1:11" ht="16.2" thickBot="1" x14ac:dyDescent="0.35">
      <c r="A25" s="5">
        <v>0.83333333333333104</v>
      </c>
      <c r="B25" s="6">
        <v>11.5</v>
      </c>
      <c r="C25" s="7">
        <v>25.3</v>
      </c>
      <c r="D25" s="7">
        <v>1740.59</v>
      </c>
      <c r="E25" s="7">
        <v>1828</v>
      </c>
      <c r="F25" s="11">
        <f t="shared" si="0"/>
        <v>87.410000000000082</v>
      </c>
      <c r="G25" s="7">
        <v>40</v>
      </c>
      <c r="H25" s="7">
        <v>24</v>
      </c>
      <c r="I25" s="11">
        <v>19</v>
      </c>
      <c r="J25" s="7">
        <v>15</v>
      </c>
    </row>
    <row r="26" spans="1:11" ht="16.2" thickBot="1" x14ac:dyDescent="0.35">
      <c r="A26" s="10">
        <v>0.85416666666666397</v>
      </c>
      <c r="B26" s="2">
        <v>12</v>
      </c>
      <c r="C26" s="3">
        <v>21.6</v>
      </c>
      <c r="D26" s="3"/>
      <c r="E26" s="3"/>
      <c r="F26" s="3"/>
      <c r="G26" s="3">
        <v>40</v>
      </c>
      <c r="H26" s="3">
        <v>25</v>
      </c>
      <c r="I26" s="3"/>
      <c r="J26" s="3">
        <v>5</v>
      </c>
    </row>
    <row r="27" spans="1:11" ht="16.2" thickBot="1" x14ac:dyDescent="0.35">
      <c r="A27" s="5">
        <v>0.874999999999997</v>
      </c>
      <c r="B27" s="6">
        <v>12.5</v>
      </c>
      <c r="C27" s="7">
        <v>23.3</v>
      </c>
      <c r="D27" s="7">
        <v>1743.13</v>
      </c>
      <c r="E27" s="7">
        <v>1825.5</v>
      </c>
      <c r="F27" s="11">
        <f t="shared" si="0"/>
        <v>82.369999999999891</v>
      </c>
      <c r="G27" s="7">
        <v>40</v>
      </c>
      <c r="H27" s="7">
        <v>26</v>
      </c>
      <c r="I27" s="11">
        <v>20</v>
      </c>
      <c r="J27" s="7">
        <v>15</v>
      </c>
    </row>
    <row r="28" spans="1:11" ht="16.2" thickBot="1" x14ac:dyDescent="0.35">
      <c r="A28" s="1"/>
      <c r="B28" s="2"/>
      <c r="C28" s="3"/>
      <c r="D28" s="3"/>
      <c r="E28" s="3"/>
      <c r="F28" s="3"/>
      <c r="G28" s="3"/>
      <c r="H28" s="3"/>
      <c r="I28" s="3"/>
      <c r="J28" s="3"/>
    </row>
    <row r="29" spans="1:11" ht="16.2" thickBot="1" x14ac:dyDescent="0.35">
      <c r="A29" s="5"/>
      <c r="B29" s="6"/>
      <c r="C29" s="7"/>
      <c r="D29" s="7"/>
      <c r="E29" s="7"/>
      <c r="F29" s="11"/>
      <c r="G29" s="7"/>
      <c r="H29" s="7"/>
      <c r="I29" s="11"/>
      <c r="J29" s="7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BB446-65A8-4B07-96A0-C5F1928E5766}">
  <dimension ref="A1:K867"/>
  <sheetViews>
    <sheetView workbookViewId="0">
      <selection activeCell="M6" sqref="M6"/>
    </sheetView>
  </sheetViews>
  <sheetFormatPr defaultRowHeight="14.4" x14ac:dyDescent="0.3"/>
  <sheetData>
    <row r="1" spans="1:11" x14ac:dyDescent="0.3">
      <c r="A1" t="s">
        <v>27</v>
      </c>
      <c r="C1" t="s">
        <v>542</v>
      </c>
      <c r="E1" t="s">
        <v>543</v>
      </c>
      <c r="G1" t="s">
        <v>544</v>
      </c>
      <c r="I1" t="s">
        <v>545</v>
      </c>
      <c r="K1" t="s">
        <v>546</v>
      </c>
    </row>
    <row r="2" spans="1:11" x14ac:dyDescent="0.3">
      <c r="A2" s="24">
        <v>7.6388888888888893E-4</v>
      </c>
      <c r="C2">
        <v>199.77</v>
      </c>
      <c r="E2">
        <v>103.62</v>
      </c>
      <c r="G2">
        <v>7.02</v>
      </c>
      <c r="I2">
        <v>36.44</v>
      </c>
      <c r="K2">
        <v>0</v>
      </c>
    </row>
    <row r="3" spans="1:11" x14ac:dyDescent="0.3">
      <c r="A3" s="24">
        <v>1.4583333333333334E-3</v>
      </c>
      <c r="C3">
        <v>199.69</v>
      </c>
      <c r="E3">
        <v>103.73</v>
      </c>
      <c r="G3">
        <v>7.02</v>
      </c>
      <c r="I3">
        <v>36.79</v>
      </c>
      <c r="K3">
        <v>0</v>
      </c>
    </row>
    <row r="4" spans="1:11" x14ac:dyDescent="0.3">
      <c r="A4" s="24">
        <v>2.1527777777777778E-3</v>
      </c>
      <c r="C4">
        <v>199.96</v>
      </c>
      <c r="E4">
        <v>103.94</v>
      </c>
      <c r="G4">
        <v>7.02</v>
      </c>
      <c r="I4">
        <v>36.96</v>
      </c>
      <c r="K4">
        <v>0</v>
      </c>
    </row>
    <row r="5" spans="1:11" x14ac:dyDescent="0.3">
      <c r="A5" s="24">
        <v>2.8587962962962963E-3</v>
      </c>
      <c r="C5">
        <v>199.69</v>
      </c>
      <c r="E5">
        <v>103.97</v>
      </c>
      <c r="G5">
        <v>7.01</v>
      </c>
      <c r="I5">
        <v>37.119999999999997</v>
      </c>
      <c r="K5">
        <v>0</v>
      </c>
    </row>
    <row r="6" spans="1:11" x14ac:dyDescent="0.3">
      <c r="A6" s="24">
        <v>3.5532407407407405E-3</v>
      </c>
      <c r="C6">
        <v>199.69</v>
      </c>
      <c r="E6">
        <v>103.88</v>
      </c>
      <c r="G6">
        <v>7.01</v>
      </c>
      <c r="I6">
        <v>37.119999999999997</v>
      </c>
      <c r="K6">
        <v>0</v>
      </c>
    </row>
    <row r="7" spans="1:11" x14ac:dyDescent="0.3">
      <c r="A7" s="24">
        <v>4.2476851851851851E-3</v>
      </c>
      <c r="C7">
        <v>200.18</v>
      </c>
      <c r="E7">
        <v>104.04</v>
      </c>
      <c r="G7">
        <v>7.01</v>
      </c>
      <c r="I7">
        <v>37.25</v>
      </c>
      <c r="K7">
        <v>0</v>
      </c>
    </row>
    <row r="8" spans="1:11" x14ac:dyDescent="0.3">
      <c r="A8" s="24">
        <v>4.9421296296296288E-3</v>
      </c>
      <c r="C8">
        <v>200.05</v>
      </c>
      <c r="E8">
        <v>103.99</v>
      </c>
      <c r="G8">
        <v>7.01</v>
      </c>
      <c r="I8">
        <v>37.32</v>
      </c>
      <c r="K8">
        <v>0</v>
      </c>
    </row>
    <row r="9" spans="1:11" x14ac:dyDescent="0.3">
      <c r="A9" s="24">
        <v>5.6365740740740742E-3</v>
      </c>
      <c r="C9">
        <v>199.56</v>
      </c>
      <c r="E9">
        <v>103.85</v>
      </c>
      <c r="G9">
        <v>7</v>
      </c>
      <c r="I9">
        <v>37.340000000000003</v>
      </c>
      <c r="K9">
        <v>0</v>
      </c>
    </row>
    <row r="10" spans="1:11" x14ac:dyDescent="0.3">
      <c r="A10" s="24">
        <v>6.3194444444444444E-3</v>
      </c>
      <c r="C10">
        <v>199.94</v>
      </c>
      <c r="E10">
        <v>103.49</v>
      </c>
      <c r="G10">
        <v>7</v>
      </c>
      <c r="I10">
        <v>37.44</v>
      </c>
      <c r="K10">
        <v>0</v>
      </c>
    </row>
    <row r="11" spans="1:11" x14ac:dyDescent="0.3">
      <c r="A11" s="24">
        <v>7.013888888888889E-3</v>
      </c>
      <c r="C11">
        <v>199.22</v>
      </c>
      <c r="E11">
        <v>103.54</v>
      </c>
      <c r="G11">
        <v>7</v>
      </c>
      <c r="I11">
        <v>37.4</v>
      </c>
      <c r="K11">
        <v>0</v>
      </c>
    </row>
    <row r="12" spans="1:11" x14ac:dyDescent="0.3">
      <c r="A12" s="24">
        <v>7.7083333333333335E-3</v>
      </c>
      <c r="C12">
        <v>200.25</v>
      </c>
      <c r="E12">
        <v>103.23</v>
      </c>
      <c r="G12">
        <v>7</v>
      </c>
      <c r="I12">
        <v>37.39</v>
      </c>
      <c r="K12">
        <v>0</v>
      </c>
    </row>
    <row r="13" spans="1:11" x14ac:dyDescent="0.3">
      <c r="A13" s="24">
        <v>8.4027777777777781E-3</v>
      </c>
      <c r="C13">
        <v>199.28</v>
      </c>
      <c r="E13">
        <v>103.25</v>
      </c>
      <c r="G13">
        <v>7</v>
      </c>
      <c r="I13">
        <v>37.4</v>
      </c>
      <c r="K13">
        <v>0</v>
      </c>
    </row>
    <row r="14" spans="1:11" x14ac:dyDescent="0.3">
      <c r="A14" s="24">
        <v>9.0972222222222218E-3</v>
      </c>
      <c r="C14">
        <v>201.57</v>
      </c>
      <c r="E14">
        <v>103.39</v>
      </c>
      <c r="G14">
        <v>7</v>
      </c>
      <c r="I14">
        <v>37.340000000000003</v>
      </c>
      <c r="K14">
        <v>0</v>
      </c>
    </row>
    <row r="15" spans="1:11" x14ac:dyDescent="0.3">
      <c r="A15" s="24">
        <v>9.7916666666666655E-3</v>
      </c>
      <c r="C15">
        <v>200.25</v>
      </c>
      <c r="E15">
        <v>102.91</v>
      </c>
      <c r="G15">
        <v>7</v>
      </c>
      <c r="I15">
        <v>37.36</v>
      </c>
      <c r="K15">
        <v>0</v>
      </c>
    </row>
    <row r="16" spans="1:11" x14ac:dyDescent="0.3">
      <c r="A16" s="24">
        <v>1.0497685185185186E-2</v>
      </c>
      <c r="C16">
        <v>200.27</v>
      </c>
      <c r="E16">
        <v>102.86</v>
      </c>
      <c r="G16">
        <v>6.99</v>
      </c>
      <c r="I16">
        <v>37.380000000000003</v>
      </c>
      <c r="K16">
        <v>0</v>
      </c>
    </row>
    <row r="17" spans="1:11" x14ac:dyDescent="0.3">
      <c r="A17" s="24">
        <v>1.119212962962963E-2</v>
      </c>
      <c r="C17">
        <v>199.9</v>
      </c>
      <c r="E17">
        <v>102.76</v>
      </c>
      <c r="G17">
        <v>6.99</v>
      </c>
      <c r="I17">
        <v>37.36</v>
      </c>
      <c r="K17">
        <v>0</v>
      </c>
    </row>
    <row r="18" spans="1:11" x14ac:dyDescent="0.3">
      <c r="A18" s="24">
        <v>1.1886574074074075E-2</v>
      </c>
      <c r="C18">
        <v>199.97</v>
      </c>
      <c r="E18">
        <v>103.17</v>
      </c>
      <c r="G18">
        <v>6.99</v>
      </c>
      <c r="I18">
        <v>37.32</v>
      </c>
      <c r="K18">
        <v>0</v>
      </c>
    </row>
    <row r="19" spans="1:11" x14ac:dyDescent="0.3">
      <c r="A19" s="24">
        <v>1.2581018518518519E-2</v>
      </c>
      <c r="C19">
        <v>199.99</v>
      </c>
      <c r="E19">
        <v>103.01</v>
      </c>
      <c r="G19">
        <v>6.99</v>
      </c>
      <c r="I19">
        <v>37.33</v>
      </c>
      <c r="K19">
        <v>0</v>
      </c>
    </row>
    <row r="20" spans="1:11" x14ac:dyDescent="0.3">
      <c r="A20" s="24">
        <v>1.3275462962962963E-2</v>
      </c>
      <c r="C20">
        <v>200.12</v>
      </c>
      <c r="E20">
        <v>101.98</v>
      </c>
      <c r="G20">
        <v>6.99</v>
      </c>
      <c r="I20">
        <v>37.229999999999997</v>
      </c>
      <c r="K20">
        <v>0</v>
      </c>
    </row>
    <row r="21" spans="1:11" x14ac:dyDescent="0.3">
      <c r="A21" s="24">
        <v>1.3969907407407408E-2</v>
      </c>
      <c r="C21">
        <v>199.79</v>
      </c>
      <c r="E21">
        <v>102.4</v>
      </c>
      <c r="G21">
        <v>6.99</v>
      </c>
      <c r="I21">
        <v>37.200000000000003</v>
      </c>
      <c r="K21">
        <v>0</v>
      </c>
    </row>
    <row r="22" spans="1:11" x14ac:dyDescent="0.3">
      <c r="A22" s="24">
        <v>1.4664351851851852E-2</v>
      </c>
      <c r="C22">
        <v>200.09</v>
      </c>
      <c r="E22">
        <v>102.44</v>
      </c>
      <c r="G22">
        <v>6.99</v>
      </c>
      <c r="I22">
        <v>37.19</v>
      </c>
      <c r="K22">
        <v>0</v>
      </c>
    </row>
    <row r="23" spans="1:11" x14ac:dyDescent="0.3">
      <c r="A23" s="24">
        <v>1.5358796296296296E-2</v>
      </c>
      <c r="C23">
        <v>200.25</v>
      </c>
      <c r="E23">
        <v>102.71</v>
      </c>
      <c r="G23">
        <v>6.99</v>
      </c>
      <c r="I23">
        <v>37.200000000000003</v>
      </c>
      <c r="K23">
        <v>0</v>
      </c>
    </row>
    <row r="24" spans="1:11" x14ac:dyDescent="0.3">
      <c r="A24" s="24">
        <v>1.6053240740740739E-2</v>
      </c>
      <c r="C24">
        <v>200.3</v>
      </c>
      <c r="E24">
        <v>99.38</v>
      </c>
      <c r="G24">
        <v>6.96</v>
      </c>
      <c r="I24">
        <v>37.1</v>
      </c>
      <c r="K24">
        <v>0</v>
      </c>
    </row>
    <row r="25" spans="1:11" x14ac:dyDescent="0.3">
      <c r="A25" s="24">
        <v>1.6759259259259258E-2</v>
      </c>
      <c r="C25">
        <v>199.56</v>
      </c>
      <c r="E25">
        <v>97.29</v>
      </c>
      <c r="G25">
        <v>6.96</v>
      </c>
      <c r="I25">
        <v>37.08</v>
      </c>
      <c r="K25">
        <v>0</v>
      </c>
    </row>
    <row r="26" spans="1:11" x14ac:dyDescent="0.3">
      <c r="A26" s="24">
        <v>1.7430555555555557E-2</v>
      </c>
      <c r="C26">
        <v>199.84</v>
      </c>
      <c r="E26">
        <v>95.83</v>
      </c>
      <c r="G26">
        <v>6.96</v>
      </c>
      <c r="I26">
        <v>37.049999999999997</v>
      </c>
      <c r="K26">
        <v>0</v>
      </c>
    </row>
    <row r="27" spans="1:11" x14ac:dyDescent="0.3">
      <c r="A27" s="24">
        <v>1.8124999999999999E-2</v>
      </c>
      <c r="C27">
        <v>199.76</v>
      </c>
      <c r="E27">
        <v>95.28</v>
      </c>
      <c r="G27">
        <v>6.96</v>
      </c>
      <c r="I27">
        <v>37.08</v>
      </c>
      <c r="K27">
        <v>0</v>
      </c>
    </row>
    <row r="28" spans="1:11" x14ac:dyDescent="0.3">
      <c r="A28" s="24">
        <v>1.8819444444444448E-2</v>
      </c>
      <c r="C28">
        <v>200.05</v>
      </c>
      <c r="E28">
        <v>94.91</v>
      </c>
      <c r="G28">
        <v>6.96</v>
      </c>
      <c r="I28">
        <v>37.08</v>
      </c>
      <c r="K28">
        <v>0</v>
      </c>
    </row>
    <row r="29" spans="1:11" x14ac:dyDescent="0.3">
      <c r="A29" s="24">
        <v>1.951388888888889E-2</v>
      </c>
      <c r="C29">
        <v>200.12</v>
      </c>
      <c r="E29">
        <v>94.8</v>
      </c>
      <c r="G29">
        <v>6.96</v>
      </c>
      <c r="I29">
        <v>37.1</v>
      </c>
      <c r="K29">
        <v>0</v>
      </c>
    </row>
    <row r="30" spans="1:11" x14ac:dyDescent="0.3">
      <c r="A30" s="24">
        <v>2.0208333333333335E-2</v>
      </c>
      <c r="C30">
        <v>200.18</v>
      </c>
      <c r="E30">
        <v>94.76</v>
      </c>
      <c r="G30">
        <v>6.96</v>
      </c>
      <c r="I30">
        <v>37.08</v>
      </c>
      <c r="K30">
        <v>0</v>
      </c>
    </row>
    <row r="31" spans="1:11" x14ac:dyDescent="0.3">
      <c r="A31" s="24">
        <v>2.0902777777777781E-2</v>
      </c>
      <c r="C31">
        <v>200.15</v>
      </c>
      <c r="E31">
        <v>94.67</v>
      </c>
      <c r="G31">
        <v>6.96</v>
      </c>
      <c r="I31">
        <v>37.06</v>
      </c>
      <c r="K31">
        <v>0</v>
      </c>
    </row>
    <row r="32" spans="1:11" x14ac:dyDescent="0.3">
      <c r="A32" s="24">
        <v>2.1597222222222223E-2</v>
      </c>
      <c r="C32">
        <v>200.01</v>
      </c>
      <c r="E32">
        <v>94.2</v>
      </c>
      <c r="G32">
        <v>6.96</v>
      </c>
      <c r="I32">
        <v>37.08</v>
      </c>
      <c r="K32">
        <v>0</v>
      </c>
    </row>
    <row r="33" spans="1:11" x14ac:dyDescent="0.3">
      <c r="A33" s="24">
        <v>2.2291666666666668E-2</v>
      </c>
      <c r="C33">
        <v>200.14</v>
      </c>
      <c r="E33">
        <v>93.93</v>
      </c>
      <c r="G33">
        <v>6.96</v>
      </c>
      <c r="I33">
        <v>37.119999999999997</v>
      </c>
      <c r="K33">
        <v>0</v>
      </c>
    </row>
    <row r="34" spans="1:11" x14ac:dyDescent="0.3">
      <c r="A34" s="24">
        <v>2.2997685185185187E-2</v>
      </c>
      <c r="C34">
        <v>199.86</v>
      </c>
      <c r="E34">
        <v>93.48</v>
      </c>
      <c r="G34">
        <v>6.96</v>
      </c>
      <c r="I34">
        <v>37.08</v>
      </c>
      <c r="K34">
        <v>0</v>
      </c>
    </row>
    <row r="35" spans="1:11" x14ac:dyDescent="0.3">
      <c r="A35" s="24">
        <v>2.3692129629629629E-2</v>
      </c>
      <c r="C35">
        <v>199.96</v>
      </c>
      <c r="E35">
        <v>92.83</v>
      </c>
      <c r="G35">
        <v>6.96</v>
      </c>
      <c r="I35">
        <v>37.119999999999997</v>
      </c>
      <c r="K35">
        <v>0</v>
      </c>
    </row>
    <row r="36" spans="1:11" x14ac:dyDescent="0.3">
      <c r="A36" s="24">
        <v>2.4386574074074074E-2</v>
      </c>
      <c r="C36">
        <v>200.18</v>
      </c>
      <c r="E36">
        <v>92.16</v>
      </c>
      <c r="G36">
        <v>6.96</v>
      </c>
      <c r="I36">
        <v>37.1</v>
      </c>
      <c r="K36">
        <v>0</v>
      </c>
    </row>
    <row r="37" spans="1:11" x14ac:dyDescent="0.3">
      <c r="A37" s="24">
        <v>2.508101851851852E-2</v>
      </c>
      <c r="C37">
        <v>200.14</v>
      </c>
      <c r="E37">
        <v>91.55</v>
      </c>
      <c r="G37">
        <v>6.96</v>
      </c>
      <c r="I37">
        <v>37.119999999999997</v>
      </c>
      <c r="K37">
        <v>0</v>
      </c>
    </row>
    <row r="38" spans="1:11" x14ac:dyDescent="0.3">
      <c r="A38" s="24">
        <v>2.5775462962962962E-2</v>
      </c>
      <c r="C38">
        <v>199.94</v>
      </c>
      <c r="E38">
        <v>90.86</v>
      </c>
      <c r="G38">
        <v>6.96</v>
      </c>
      <c r="I38">
        <v>37.1</v>
      </c>
      <c r="K38">
        <v>0</v>
      </c>
    </row>
    <row r="39" spans="1:11" x14ac:dyDescent="0.3">
      <c r="A39" s="24">
        <v>2.6469907407407411E-2</v>
      </c>
      <c r="C39">
        <v>199.95</v>
      </c>
      <c r="E39">
        <v>90.67</v>
      </c>
      <c r="G39">
        <v>6.96</v>
      </c>
      <c r="I39">
        <v>37.090000000000003</v>
      </c>
      <c r="K39">
        <v>0</v>
      </c>
    </row>
    <row r="40" spans="1:11" x14ac:dyDescent="0.3">
      <c r="A40" s="24">
        <v>2.7164351851851853E-2</v>
      </c>
      <c r="C40">
        <v>199.92</v>
      </c>
      <c r="E40">
        <v>90.42</v>
      </c>
      <c r="G40">
        <v>6.96</v>
      </c>
      <c r="I40">
        <v>37.06</v>
      </c>
      <c r="K40">
        <v>0</v>
      </c>
    </row>
    <row r="41" spans="1:11" x14ac:dyDescent="0.3">
      <c r="A41" s="24">
        <v>2.7858796296296298E-2</v>
      </c>
      <c r="C41">
        <v>199.88</v>
      </c>
      <c r="E41">
        <v>89.84</v>
      </c>
      <c r="G41">
        <v>6.95</v>
      </c>
      <c r="I41">
        <v>37.08</v>
      </c>
      <c r="K41">
        <v>0</v>
      </c>
    </row>
    <row r="42" spans="1:11" x14ac:dyDescent="0.3">
      <c r="A42" s="24">
        <v>2.8564814814814817E-2</v>
      </c>
      <c r="C42">
        <v>199.77</v>
      </c>
      <c r="E42">
        <v>89.77</v>
      </c>
      <c r="G42">
        <v>6.95</v>
      </c>
      <c r="I42">
        <v>37.090000000000003</v>
      </c>
      <c r="K42">
        <v>0</v>
      </c>
    </row>
    <row r="43" spans="1:11" x14ac:dyDescent="0.3">
      <c r="A43" s="24">
        <v>2.9259259259259259E-2</v>
      </c>
      <c r="C43">
        <v>199.82</v>
      </c>
      <c r="E43">
        <v>89.42</v>
      </c>
      <c r="G43">
        <v>6.95</v>
      </c>
      <c r="I43">
        <v>37.07</v>
      </c>
      <c r="K43">
        <v>0</v>
      </c>
    </row>
    <row r="44" spans="1:11" x14ac:dyDescent="0.3">
      <c r="A44" s="24">
        <v>2.9930555555555557E-2</v>
      </c>
      <c r="C44">
        <v>200.14</v>
      </c>
      <c r="E44">
        <v>89.27</v>
      </c>
      <c r="G44">
        <v>6.95</v>
      </c>
      <c r="I44">
        <v>37.049999999999997</v>
      </c>
      <c r="K44">
        <v>0</v>
      </c>
    </row>
    <row r="45" spans="1:11" x14ac:dyDescent="0.3">
      <c r="A45" s="24">
        <v>3.0624999999999999E-2</v>
      </c>
      <c r="C45">
        <v>199.98</v>
      </c>
      <c r="E45">
        <v>88.97</v>
      </c>
      <c r="G45">
        <v>6.95</v>
      </c>
      <c r="I45">
        <v>37.07</v>
      </c>
      <c r="K45">
        <v>0</v>
      </c>
    </row>
    <row r="46" spans="1:11" x14ac:dyDescent="0.3">
      <c r="A46" s="24">
        <v>3.1319444444444448E-2</v>
      </c>
      <c r="C46">
        <v>200.05</v>
      </c>
      <c r="E46">
        <v>89.01</v>
      </c>
      <c r="G46">
        <v>6.95</v>
      </c>
      <c r="I46">
        <v>37.08</v>
      </c>
      <c r="K46">
        <v>0</v>
      </c>
    </row>
    <row r="47" spans="1:11" x14ac:dyDescent="0.3">
      <c r="A47" s="24">
        <v>3.201388888888889E-2</v>
      </c>
      <c r="C47">
        <v>199.78</v>
      </c>
      <c r="E47">
        <v>89.01</v>
      </c>
      <c r="G47">
        <v>6.95</v>
      </c>
      <c r="I47">
        <v>37.06</v>
      </c>
      <c r="K47">
        <v>0</v>
      </c>
    </row>
    <row r="48" spans="1:11" x14ac:dyDescent="0.3">
      <c r="A48" s="24">
        <v>3.2708333333333332E-2</v>
      </c>
      <c r="C48">
        <v>199.97</v>
      </c>
      <c r="E48">
        <v>88.42</v>
      </c>
      <c r="G48">
        <v>6.95</v>
      </c>
      <c r="I48">
        <v>37.06</v>
      </c>
      <c r="K48">
        <v>0</v>
      </c>
    </row>
    <row r="49" spans="1:11" x14ac:dyDescent="0.3">
      <c r="A49" s="24">
        <v>3.3402777777777774E-2</v>
      </c>
      <c r="C49">
        <v>199.97</v>
      </c>
      <c r="E49">
        <v>88.63</v>
      </c>
      <c r="G49">
        <v>6.95</v>
      </c>
      <c r="I49">
        <v>37.049999999999997</v>
      </c>
      <c r="K49">
        <v>0</v>
      </c>
    </row>
    <row r="50" spans="1:11" x14ac:dyDescent="0.3">
      <c r="A50" s="24">
        <v>3.4097222222222223E-2</v>
      </c>
      <c r="C50">
        <v>199.93</v>
      </c>
      <c r="E50">
        <v>88.49</v>
      </c>
      <c r="G50">
        <v>6.95</v>
      </c>
      <c r="I50">
        <v>37.04</v>
      </c>
      <c r="K50">
        <v>0</v>
      </c>
    </row>
    <row r="51" spans="1:11" x14ac:dyDescent="0.3">
      <c r="A51" s="24">
        <v>3.4803240740740739E-2</v>
      </c>
      <c r="C51">
        <v>199.85</v>
      </c>
      <c r="E51">
        <v>88.36</v>
      </c>
      <c r="G51">
        <v>6.95</v>
      </c>
      <c r="I51">
        <v>37.06</v>
      </c>
      <c r="K51">
        <v>0</v>
      </c>
    </row>
    <row r="52" spans="1:11" x14ac:dyDescent="0.3">
      <c r="A52" s="24">
        <v>3.5497685185185188E-2</v>
      </c>
      <c r="C52">
        <v>200.09</v>
      </c>
      <c r="E52">
        <v>88.35</v>
      </c>
      <c r="G52">
        <v>6.95</v>
      </c>
      <c r="I52">
        <v>37.020000000000003</v>
      </c>
      <c r="K52">
        <v>0</v>
      </c>
    </row>
    <row r="53" spans="1:11" x14ac:dyDescent="0.3">
      <c r="A53" s="24">
        <v>3.619212962962963E-2</v>
      </c>
      <c r="C53">
        <v>199.55</v>
      </c>
      <c r="E53">
        <v>88.32</v>
      </c>
      <c r="G53">
        <v>6.95</v>
      </c>
      <c r="I53">
        <v>37.049999999999997</v>
      </c>
      <c r="K53">
        <v>0</v>
      </c>
    </row>
    <row r="54" spans="1:11" x14ac:dyDescent="0.3">
      <c r="A54" s="24">
        <v>3.6886574074074079E-2</v>
      </c>
      <c r="C54">
        <v>200.08</v>
      </c>
      <c r="E54">
        <v>88.06</v>
      </c>
      <c r="G54">
        <v>6.95</v>
      </c>
      <c r="I54">
        <v>37.04</v>
      </c>
      <c r="K54">
        <v>0</v>
      </c>
    </row>
    <row r="55" spans="1:11" x14ac:dyDescent="0.3">
      <c r="A55" s="24">
        <v>3.7581018518518521E-2</v>
      </c>
      <c r="C55">
        <v>199.73</v>
      </c>
      <c r="E55">
        <v>87.79</v>
      </c>
      <c r="G55">
        <v>6.95</v>
      </c>
      <c r="I55">
        <v>36.99</v>
      </c>
      <c r="K55">
        <v>0</v>
      </c>
    </row>
    <row r="56" spans="1:11" x14ac:dyDescent="0.3">
      <c r="A56" s="24">
        <v>3.8275462962962963E-2</v>
      </c>
      <c r="C56">
        <v>199.83</v>
      </c>
      <c r="E56">
        <v>87.13</v>
      </c>
      <c r="G56">
        <v>6.95</v>
      </c>
      <c r="I56">
        <v>36.99</v>
      </c>
      <c r="K56">
        <v>0</v>
      </c>
    </row>
    <row r="57" spans="1:11" x14ac:dyDescent="0.3">
      <c r="A57" s="24">
        <v>3.8969907407407404E-2</v>
      </c>
      <c r="C57">
        <v>200.01</v>
      </c>
      <c r="E57">
        <v>86.8</v>
      </c>
      <c r="G57">
        <v>6.95</v>
      </c>
      <c r="I57">
        <v>36.97</v>
      </c>
      <c r="K57">
        <v>0</v>
      </c>
    </row>
    <row r="58" spans="1:11" x14ac:dyDescent="0.3">
      <c r="A58" s="24">
        <v>3.9664351851851853E-2</v>
      </c>
      <c r="C58">
        <v>200</v>
      </c>
      <c r="E58">
        <v>87.13</v>
      </c>
      <c r="G58">
        <v>6.95</v>
      </c>
      <c r="I58">
        <v>37</v>
      </c>
      <c r="K58">
        <v>0</v>
      </c>
    </row>
    <row r="59" spans="1:11" x14ac:dyDescent="0.3">
      <c r="A59" s="24">
        <v>4.0358796296296295E-2</v>
      </c>
      <c r="C59">
        <v>199.87</v>
      </c>
      <c r="E59">
        <v>87.02</v>
      </c>
      <c r="G59">
        <v>6.95</v>
      </c>
      <c r="I59">
        <v>36.96</v>
      </c>
      <c r="K59">
        <v>0</v>
      </c>
    </row>
    <row r="60" spans="1:11" x14ac:dyDescent="0.3">
      <c r="A60" s="24">
        <v>4.1064814814814811E-2</v>
      </c>
      <c r="C60">
        <v>200.12</v>
      </c>
      <c r="E60">
        <v>86.9</v>
      </c>
      <c r="G60">
        <v>6.95</v>
      </c>
      <c r="I60">
        <v>36.950000000000003</v>
      </c>
      <c r="K60">
        <v>0</v>
      </c>
    </row>
    <row r="61" spans="1:11" x14ac:dyDescent="0.3">
      <c r="A61" s="24">
        <v>4.1736111111111113E-2</v>
      </c>
      <c r="C61">
        <v>200.21</v>
      </c>
      <c r="E61">
        <v>86.75</v>
      </c>
      <c r="G61">
        <v>6.95</v>
      </c>
      <c r="I61">
        <v>37.01</v>
      </c>
      <c r="K61">
        <v>0</v>
      </c>
    </row>
    <row r="62" spans="1:11" x14ac:dyDescent="0.3">
      <c r="A62" s="24">
        <v>4.2430555555555555E-2</v>
      </c>
      <c r="C62">
        <v>200.01</v>
      </c>
      <c r="E62">
        <v>86.94</v>
      </c>
      <c r="G62">
        <v>6.95</v>
      </c>
      <c r="I62">
        <v>36.96</v>
      </c>
      <c r="K62">
        <v>0</v>
      </c>
    </row>
    <row r="63" spans="1:11" x14ac:dyDescent="0.3">
      <c r="A63" s="24">
        <v>4.3124999999999997E-2</v>
      </c>
      <c r="C63">
        <v>200.01</v>
      </c>
      <c r="E63">
        <v>86.71</v>
      </c>
      <c r="G63">
        <v>6.95</v>
      </c>
      <c r="I63">
        <v>37</v>
      </c>
      <c r="K63">
        <v>14.35</v>
      </c>
    </row>
    <row r="64" spans="1:11" x14ac:dyDescent="0.3">
      <c r="A64" s="24">
        <v>4.3819444444444446E-2</v>
      </c>
      <c r="C64">
        <v>200.37</v>
      </c>
      <c r="E64">
        <v>86.71</v>
      </c>
      <c r="G64">
        <v>6.95</v>
      </c>
      <c r="I64">
        <v>37.08</v>
      </c>
      <c r="K64">
        <v>0</v>
      </c>
    </row>
    <row r="65" spans="1:11" x14ac:dyDescent="0.3">
      <c r="A65" s="24">
        <v>4.4513888888888888E-2</v>
      </c>
      <c r="C65">
        <v>200.17</v>
      </c>
      <c r="E65">
        <v>86.09</v>
      </c>
      <c r="G65">
        <v>6.95</v>
      </c>
      <c r="I65">
        <v>36.99</v>
      </c>
      <c r="K65">
        <v>0</v>
      </c>
    </row>
    <row r="66" spans="1:11" x14ac:dyDescent="0.3">
      <c r="A66" s="24">
        <v>4.520833333333333E-2</v>
      </c>
      <c r="C66">
        <v>201.05</v>
      </c>
      <c r="E66">
        <v>86.27</v>
      </c>
      <c r="G66">
        <v>6.95</v>
      </c>
      <c r="I66">
        <v>36.96</v>
      </c>
      <c r="K66">
        <v>0</v>
      </c>
    </row>
    <row r="67" spans="1:11" x14ac:dyDescent="0.3">
      <c r="A67" s="24">
        <v>4.5902777777777772E-2</v>
      </c>
      <c r="C67">
        <v>200.04</v>
      </c>
      <c r="E67">
        <v>86.16</v>
      </c>
      <c r="G67">
        <v>6.95</v>
      </c>
      <c r="I67">
        <v>37</v>
      </c>
      <c r="K67">
        <v>0</v>
      </c>
    </row>
    <row r="68" spans="1:11" x14ac:dyDescent="0.3">
      <c r="A68" s="24">
        <v>4.6608796296296294E-2</v>
      </c>
      <c r="C68">
        <v>200.42</v>
      </c>
      <c r="E68">
        <v>86.41</v>
      </c>
      <c r="G68">
        <v>6.95</v>
      </c>
      <c r="I68">
        <v>36.99</v>
      </c>
      <c r="K68">
        <v>0</v>
      </c>
    </row>
    <row r="69" spans="1:11" x14ac:dyDescent="0.3">
      <c r="A69" s="24">
        <v>4.7303240740740743E-2</v>
      </c>
      <c r="C69">
        <v>200.12</v>
      </c>
      <c r="E69">
        <v>86.1</v>
      </c>
      <c r="G69">
        <v>6.95</v>
      </c>
      <c r="I69">
        <v>37.06</v>
      </c>
      <c r="K69">
        <v>0</v>
      </c>
    </row>
    <row r="70" spans="1:11" x14ac:dyDescent="0.3">
      <c r="A70" s="24">
        <v>4.7997685185185185E-2</v>
      </c>
      <c r="C70">
        <v>199.62</v>
      </c>
      <c r="E70">
        <v>86.01</v>
      </c>
      <c r="G70">
        <v>6.95</v>
      </c>
      <c r="I70">
        <v>37.020000000000003</v>
      </c>
      <c r="K70">
        <v>0</v>
      </c>
    </row>
    <row r="71" spans="1:11" x14ac:dyDescent="0.3">
      <c r="A71" s="24">
        <v>4.8692129629629627E-2</v>
      </c>
      <c r="C71">
        <v>200.27</v>
      </c>
      <c r="E71">
        <v>86.54</v>
      </c>
      <c r="G71">
        <v>6.95</v>
      </c>
      <c r="I71">
        <v>36.97</v>
      </c>
      <c r="K71">
        <v>0</v>
      </c>
    </row>
    <row r="72" spans="1:11" x14ac:dyDescent="0.3">
      <c r="A72" s="24">
        <v>4.9386574074074076E-2</v>
      </c>
      <c r="C72">
        <v>200.02</v>
      </c>
      <c r="E72">
        <v>81.45</v>
      </c>
      <c r="G72">
        <v>6.96</v>
      </c>
      <c r="I72">
        <v>37.03</v>
      </c>
      <c r="K72">
        <v>0</v>
      </c>
    </row>
    <row r="73" spans="1:11" x14ac:dyDescent="0.3">
      <c r="A73" s="24">
        <v>5.0081018518518518E-2</v>
      </c>
      <c r="C73">
        <v>200.08</v>
      </c>
      <c r="E73">
        <v>76.37</v>
      </c>
      <c r="G73">
        <v>6.96</v>
      </c>
      <c r="I73">
        <v>37.06</v>
      </c>
      <c r="K73">
        <v>0</v>
      </c>
    </row>
    <row r="74" spans="1:11" x14ac:dyDescent="0.3">
      <c r="A74" s="24">
        <v>5.077546296296296E-2</v>
      </c>
      <c r="C74">
        <v>199.42</v>
      </c>
      <c r="E74">
        <v>77.67</v>
      </c>
      <c r="G74">
        <v>6.95</v>
      </c>
      <c r="I74">
        <v>37.07</v>
      </c>
      <c r="K74">
        <v>0</v>
      </c>
    </row>
    <row r="75" spans="1:11" x14ac:dyDescent="0.3">
      <c r="A75" s="24">
        <v>5.1469907407407402E-2</v>
      </c>
      <c r="C75">
        <v>199.51</v>
      </c>
      <c r="E75">
        <v>79.69</v>
      </c>
      <c r="G75">
        <v>6.95</v>
      </c>
      <c r="I75">
        <v>37.03</v>
      </c>
      <c r="K75">
        <v>0</v>
      </c>
    </row>
    <row r="76" spans="1:11" x14ac:dyDescent="0.3">
      <c r="A76" s="24">
        <v>5.2164351851851858E-2</v>
      </c>
      <c r="C76">
        <v>199.81</v>
      </c>
      <c r="E76">
        <v>81.37</v>
      </c>
      <c r="G76">
        <v>6.95</v>
      </c>
      <c r="I76">
        <v>37.07</v>
      </c>
      <c r="K76">
        <v>0</v>
      </c>
    </row>
    <row r="77" spans="1:11" x14ac:dyDescent="0.3">
      <c r="A77" s="24">
        <v>5.2870370370370373E-2</v>
      </c>
      <c r="C77">
        <v>200.9</v>
      </c>
      <c r="E77">
        <v>81.98</v>
      </c>
      <c r="G77">
        <v>6.96</v>
      </c>
      <c r="I77">
        <v>37.020000000000003</v>
      </c>
      <c r="K77">
        <v>0</v>
      </c>
    </row>
    <row r="78" spans="1:11" x14ac:dyDescent="0.3">
      <c r="A78" s="24">
        <v>5.3541666666666675E-2</v>
      </c>
      <c r="C78">
        <v>200.09</v>
      </c>
      <c r="E78">
        <v>82.3</v>
      </c>
      <c r="G78">
        <v>6.95</v>
      </c>
      <c r="I78">
        <v>37.049999999999997</v>
      </c>
      <c r="K78">
        <v>0</v>
      </c>
    </row>
    <row r="79" spans="1:11" x14ac:dyDescent="0.3">
      <c r="A79" s="24">
        <v>5.4236111111111117E-2</v>
      </c>
      <c r="C79">
        <v>200.17</v>
      </c>
      <c r="E79">
        <v>83.78</v>
      </c>
      <c r="G79">
        <v>6.95</v>
      </c>
      <c r="I79">
        <v>37.04</v>
      </c>
      <c r="K79">
        <v>0</v>
      </c>
    </row>
    <row r="80" spans="1:11" x14ac:dyDescent="0.3">
      <c r="A80" s="24">
        <v>5.4930555555555559E-2</v>
      </c>
      <c r="C80">
        <v>200.09</v>
      </c>
      <c r="E80">
        <v>85.24</v>
      </c>
      <c r="G80">
        <v>6.95</v>
      </c>
      <c r="I80">
        <v>37.04</v>
      </c>
      <c r="K80">
        <v>0</v>
      </c>
    </row>
    <row r="81" spans="1:11" x14ac:dyDescent="0.3">
      <c r="A81" s="24">
        <v>5.5625000000000001E-2</v>
      </c>
      <c r="C81">
        <v>199.3</v>
      </c>
      <c r="E81">
        <v>85.72</v>
      </c>
      <c r="G81">
        <v>6.95</v>
      </c>
      <c r="I81">
        <v>37.049999999999997</v>
      </c>
      <c r="K81">
        <v>0</v>
      </c>
    </row>
    <row r="82" spans="1:11" x14ac:dyDescent="0.3">
      <c r="A82" s="24">
        <v>5.6319444444444443E-2</v>
      </c>
      <c r="C82">
        <v>199.85</v>
      </c>
      <c r="E82">
        <v>86.08</v>
      </c>
      <c r="G82">
        <v>6.95</v>
      </c>
      <c r="I82">
        <v>37.020000000000003</v>
      </c>
      <c r="K82">
        <v>0</v>
      </c>
    </row>
    <row r="83" spans="1:11" x14ac:dyDescent="0.3">
      <c r="A83" s="24">
        <v>5.7013888888888892E-2</v>
      </c>
      <c r="C83">
        <v>200.8</v>
      </c>
      <c r="E83">
        <v>86.26</v>
      </c>
      <c r="G83">
        <v>6.95</v>
      </c>
      <c r="I83">
        <v>37.01</v>
      </c>
      <c r="K83">
        <v>0</v>
      </c>
    </row>
    <row r="84" spans="1:11" x14ac:dyDescent="0.3">
      <c r="A84" s="24">
        <v>5.7708333333333334E-2</v>
      </c>
      <c r="C84">
        <v>200.26</v>
      </c>
      <c r="E84">
        <v>85.7</v>
      </c>
      <c r="G84">
        <v>6.95</v>
      </c>
      <c r="I84">
        <v>37.03</v>
      </c>
      <c r="K84">
        <v>0</v>
      </c>
    </row>
    <row r="85" spans="1:11" x14ac:dyDescent="0.3">
      <c r="A85" s="24">
        <v>5.8402777777777776E-2</v>
      </c>
      <c r="C85">
        <v>200.31</v>
      </c>
      <c r="E85">
        <v>85.11</v>
      </c>
      <c r="G85">
        <v>6.95</v>
      </c>
      <c r="I85">
        <v>36.96</v>
      </c>
      <c r="K85">
        <v>0</v>
      </c>
    </row>
    <row r="86" spans="1:11" x14ac:dyDescent="0.3">
      <c r="A86" s="24">
        <v>5.9108796296296291E-2</v>
      </c>
      <c r="C86">
        <v>199.52</v>
      </c>
      <c r="E86">
        <v>84.64</v>
      </c>
      <c r="G86">
        <v>6.95</v>
      </c>
      <c r="I86">
        <v>36.96</v>
      </c>
      <c r="K86">
        <v>0</v>
      </c>
    </row>
    <row r="87" spans="1:11" x14ac:dyDescent="0.3">
      <c r="A87" s="24">
        <v>5.9803240740740747E-2</v>
      </c>
      <c r="C87">
        <v>199.62</v>
      </c>
      <c r="E87">
        <v>84.71</v>
      </c>
      <c r="G87">
        <v>6.95</v>
      </c>
      <c r="I87">
        <v>36.93</v>
      </c>
      <c r="K87">
        <v>0</v>
      </c>
    </row>
    <row r="88" spans="1:11" x14ac:dyDescent="0.3">
      <c r="A88" s="24">
        <v>6.0497685185185189E-2</v>
      </c>
      <c r="C88">
        <v>199.69</v>
      </c>
      <c r="E88">
        <v>85.27</v>
      </c>
      <c r="G88">
        <v>6.95</v>
      </c>
      <c r="I88">
        <v>36.97</v>
      </c>
      <c r="K88">
        <v>0</v>
      </c>
    </row>
    <row r="89" spans="1:11" x14ac:dyDescent="0.3">
      <c r="A89" s="24">
        <v>6.1192129629629631E-2</v>
      </c>
      <c r="C89">
        <v>200.12</v>
      </c>
      <c r="E89">
        <v>85.43</v>
      </c>
      <c r="G89">
        <v>6.95</v>
      </c>
      <c r="I89">
        <v>36.99</v>
      </c>
      <c r="K89">
        <v>0</v>
      </c>
    </row>
    <row r="90" spans="1:11" x14ac:dyDescent="0.3">
      <c r="A90" s="24">
        <v>6.1886574074074073E-2</v>
      </c>
      <c r="C90">
        <v>200.05</v>
      </c>
      <c r="E90">
        <v>85.65</v>
      </c>
      <c r="G90">
        <v>6.95</v>
      </c>
      <c r="I90">
        <v>36.99</v>
      </c>
      <c r="K90">
        <v>0</v>
      </c>
    </row>
    <row r="91" spans="1:11" x14ac:dyDescent="0.3">
      <c r="A91" s="24">
        <v>6.2581018518518508E-2</v>
      </c>
      <c r="C91">
        <v>199.88</v>
      </c>
      <c r="E91">
        <v>85.48</v>
      </c>
      <c r="G91">
        <v>6.95</v>
      </c>
      <c r="I91">
        <v>36.979999999999997</v>
      </c>
      <c r="K91">
        <v>0</v>
      </c>
    </row>
    <row r="92" spans="1:11" x14ac:dyDescent="0.3">
      <c r="A92" s="24">
        <v>6.3275462962962964E-2</v>
      </c>
      <c r="C92">
        <v>200.45</v>
      </c>
      <c r="E92">
        <v>85.65</v>
      </c>
      <c r="G92">
        <v>6.95</v>
      </c>
      <c r="I92">
        <v>36.979999999999997</v>
      </c>
      <c r="K92">
        <v>0</v>
      </c>
    </row>
    <row r="93" spans="1:11" x14ac:dyDescent="0.3">
      <c r="A93" s="24">
        <v>6.3969907407407406E-2</v>
      </c>
      <c r="C93">
        <v>199.92</v>
      </c>
      <c r="E93">
        <v>85.31</v>
      </c>
      <c r="G93">
        <v>6.95</v>
      </c>
      <c r="I93">
        <v>36.99</v>
      </c>
      <c r="K93">
        <v>0</v>
      </c>
    </row>
    <row r="94" spans="1:11" x14ac:dyDescent="0.3">
      <c r="A94" s="24">
        <v>6.4675925925925928E-2</v>
      </c>
      <c r="C94">
        <v>200.1</v>
      </c>
      <c r="E94">
        <v>85.13</v>
      </c>
      <c r="G94">
        <v>6.95</v>
      </c>
      <c r="I94">
        <v>37.020000000000003</v>
      </c>
      <c r="K94">
        <v>0</v>
      </c>
    </row>
    <row r="95" spans="1:11" x14ac:dyDescent="0.3">
      <c r="A95" s="24">
        <v>6.537037037037037E-2</v>
      </c>
      <c r="C95">
        <v>200.22</v>
      </c>
      <c r="E95">
        <v>84.9</v>
      </c>
      <c r="G95">
        <v>6.95</v>
      </c>
      <c r="I95">
        <v>36.97</v>
      </c>
      <c r="K95">
        <v>0</v>
      </c>
    </row>
    <row r="96" spans="1:11" x14ac:dyDescent="0.3">
      <c r="A96" s="24">
        <v>6.6041666666666665E-2</v>
      </c>
      <c r="C96">
        <v>200.34</v>
      </c>
      <c r="E96">
        <v>84.7</v>
      </c>
      <c r="G96">
        <v>6.95</v>
      </c>
      <c r="I96">
        <v>37</v>
      </c>
      <c r="K96">
        <v>0</v>
      </c>
    </row>
    <row r="97" spans="1:11" x14ac:dyDescent="0.3">
      <c r="A97" s="24">
        <v>6.6736111111111107E-2</v>
      </c>
      <c r="C97">
        <v>199.96</v>
      </c>
      <c r="E97">
        <v>84.46</v>
      </c>
      <c r="G97">
        <v>6.95</v>
      </c>
      <c r="I97">
        <v>37.03</v>
      </c>
      <c r="K97">
        <v>0</v>
      </c>
    </row>
    <row r="98" spans="1:11" x14ac:dyDescent="0.3">
      <c r="A98" s="24">
        <v>6.7430555555555563E-2</v>
      </c>
      <c r="C98">
        <v>199.99</v>
      </c>
      <c r="E98">
        <v>84.22</v>
      </c>
      <c r="G98">
        <v>6.95</v>
      </c>
      <c r="I98">
        <v>36.99</v>
      </c>
      <c r="K98">
        <v>0</v>
      </c>
    </row>
    <row r="99" spans="1:11" x14ac:dyDescent="0.3">
      <c r="A99" s="24">
        <v>6.8125000000000005E-2</v>
      </c>
      <c r="C99">
        <v>200.05</v>
      </c>
      <c r="E99">
        <v>84.06</v>
      </c>
      <c r="G99">
        <v>6.95</v>
      </c>
      <c r="I99">
        <v>36.979999999999997</v>
      </c>
      <c r="K99">
        <v>0</v>
      </c>
    </row>
    <row r="100" spans="1:11" x14ac:dyDescent="0.3">
      <c r="A100" s="24">
        <v>6.8819444444444447E-2</v>
      </c>
      <c r="C100">
        <v>199.94</v>
      </c>
      <c r="E100">
        <v>83.78</v>
      </c>
      <c r="G100">
        <v>6.95</v>
      </c>
      <c r="I100">
        <v>37</v>
      </c>
      <c r="K100">
        <v>0</v>
      </c>
    </row>
    <row r="101" spans="1:11" x14ac:dyDescent="0.3">
      <c r="A101" s="24">
        <v>6.9513888888888889E-2</v>
      </c>
      <c r="C101">
        <v>200.02</v>
      </c>
      <c r="E101">
        <v>83.63</v>
      </c>
      <c r="G101">
        <v>6.95</v>
      </c>
      <c r="I101">
        <v>37.01</v>
      </c>
      <c r="K101">
        <v>0</v>
      </c>
    </row>
    <row r="102" spans="1:11" x14ac:dyDescent="0.3">
      <c r="A102" s="24">
        <v>7.0208333333333331E-2</v>
      </c>
      <c r="C102">
        <v>200.3</v>
      </c>
      <c r="E102">
        <v>83.25</v>
      </c>
      <c r="G102">
        <v>6.95</v>
      </c>
      <c r="I102">
        <v>36.99</v>
      </c>
      <c r="K102">
        <v>0</v>
      </c>
    </row>
    <row r="103" spans="1:11" x14ac:dyDescent="0.3">
      <c r="A103" s="24">
        <v>7.0914351851851853E-2</v>
      </c>
      <c r="C103">
        <v>200.03</v>
      </c>
      <c r="E103">
        <v>83.24</v>
      </c>
      <c r="G103">
        <v>6.95</v>
      </c>
      <c r="I103">
        <v>37</v>
      </c>
      <c r="K103">
        <v>0</v>
      </c>
    </row>
    <row r="104" spans="1:11" x14ac:dyDescent="0.3">
      <c r="A104" s="24">
        <v>7.1608796296296295E-2</v>
      </c>
      <c r="C104">
        <v>200.15</v>
      </c>
      <c r="E104">
        <v>82.92</v>
      </c>
      <c r="G104">
        <v>6.95</v>
      </c>
      <c r="I104">
        <v>37</v>
      </c>
      <c r="K104">
        <v>0</v>
      </c>
    </row>
    <row r="105" spans="1:11" x14ac:dyDescent="0.3">
      <c r="A105" s="24">
        <v>7.2303240740740737E-2</v>
      </c>
      <c r="C105">
        <v>199.47</v>
      </c>
      <c r="E105">
        <v>82.67</v>
      </c>
      <c r="G105">
        <v>6.95</v>
      </c>
      <c r="I105">
        <v>37.06</v>
      </c>
      <c r="K105">
        <v>0</v>
      </c>
    </row>
    <row r="106" spans="1:11" x14ac:dyDescent="0.3">
      <c r="A106" s="24">
        <v>7.2997685185185179E-2</v>
      </c>
      <c r="C106">
        <v>201.81</v>
      </c>
      <c r="E106">
        <v>82.26</v>
      </c>
      <c r="G106">
        <v>6.95</v>
      </c>
      <c r="I106">
        <v>37.049999999999997</v>
      </c>
      <c r="K106">
        <v>0</v>
      </c>
    </row>
    <row r="107" spans="1:11" x14ac:dyDescent="0.3">
      <c r="A107" s="24">
        <v>7.3692129629629635E-2</v>
      </c>
      <c r="C107">
        <v>199.85</v>
      </c>
      <c r="E107">
        <v>82.11</v>
      </c>
      <c r="G107">
        <v>6.95</v>
      </c>
      <c r="I107">
        <v>37.01</v>
      </c>
      <c r="K107">
        <v>0</v>
      </c>
    </row>
    <row r="108" spans="1:11" x14ac:dyDescent="0.3">
      <c r="A108" s="24">
        <v>7.4386574074074077E-2</v>
      </c>
      <c r="C108">
        <v>200.11</v>
      </c>
      <c r="E108">
        <v>81.55</v>
      </c>
      <c r="G108">
        <v>6.96</v>
      </c>
      <c r="I108">
        <v>36.99</v>
      </c>
      <c r="K108">
        <v>0</v>
      </c>
    </row>
    <row r="109" spans="1:11" x14ac:dyDescent="0.3">
      <c r="A109" s="24">
        <v>7.5081018518518519E-2</v>
      </c>
      <c r="C109">
        <v>199.62</v>
      </c>
      <c r="E109">
        <v>81.45</v>
      </c>
      <c r="G109">
        <v>6.96</v>
      </c>
      <c r="I109">
        <v>36.99</v>
      </c>
      <c r="K109">
        <v>0</v>
      </c>
    </row>
    <row r="110" spans="1:11" x14ac:dyDescent="0.3">
      <c r="A110" s="24">
        <v>7.5775462962962961E-2</v>
      </c>
      <c r="C110">
        <v>200.6</v>
      </c>
      <c r="E110">
        <v>81.02</v>
      </c>
      <c r="G110">
        <v>6.96</v>
      </c>
      <c r="I110">
        <v>36.99</v>
      </c>
      <c r="K110">
        <v>0</v>
      </c>
    </row>
    <row r="111" spans="1:11" x14ac:dyDescent="0.3">
      <c r="A111" s="24">
        <v>7.6469907407407403E-2</v>
      </c>
      <c r="C111">
        <v>200.12</v>
      </c>
      <c r="E111">
        <v>80.819999999999993</v>
      </c>
      <c r="G111">
        <v>6.95</v>
      </c>
      <c r="I111">
        <v>36.96</v>
      </c>
      <c r="K111">
        <v>0</v>
      </c>
    </row>
    <row r="112" spans="1:11" x14ac:dyDescent="0.3">
      <c r="A112" s="24">
        <v>7.7175925925925926E-2</v>
      </c>
      <c r="C112">
        <v>201.57</v>
      </c>
      <c r="E112">
        <v>80.27</v>
      </c>
      <c r="G112">
        <v>6.95</v>
      </c>
      <c r="I112">
        <v>36.99</v>
      </c>
      <c r="K112">
        <v>0</v>
      </c>
    </row>
    <row r="113" spans="1:11" x14ac:dyDescent="0.3">
      <c r="A113" s="24">
        <v>7.784722222222222E-2</v>
      </c>
      <c r="C113">
        <v>199.98</v>
      </c>
      <c r="E113">
        <v>79.97</v>
      </c>
      <c r="G113">
        <v>6.95</v>
      </c>
      <c r="I113">
        <v>37.01</v>
      </c>
      <c r="K113">
        <v>0</v>
      </c>
    </row>
    <row r="114" spans="1:11" x14ac:dyDescent="0.3">
      <c r="A114" s="24">
        <v>7.8541666666666662E-2</v>
      </c>
      <c r="C114">
        <v>199.91</v>
      </c>
      <c r="E114">
        <v>79.41</v>
      </c>
      <c r="G114">
        <v>6.95</v>
      </c>
      <c r="I114">
        <v>36.979999999999997</v>
      </c>
      <c r="K114">
        <v>0</v>
      </c>
    </row>
    <row r="115" spans="1:11" x14ac:dyDescent="0.3">
      <c r="A115" s="24">
        <v>7.9236111111111118E-2</v>
      </c>
      <c r="C115">
        <v>199.89</v>
      </c>
      <c r="E115">
        <v>79.09</v>
      </c>
      <c r="G115">
        <v>6.95</v>
      </c>
      <c r="I115">
        <v>36.96</v>
      </c>
      <c r="K115">
        <v>0</v>
      </c>
    </row>
    <row r="116" spans="1:11" x14ac:dyDescent="0.3">
      <c r="A116" s="24">
        <v>7.993055555555556E-2</v>
      </c>
      <c r="C116">
        <v>199.69</v>
      </c>
      <c r="E116">
        <v>78.650000000000006</v>
      </c>
      <c r="G116">
        <v>6.95</v>
      </c>
      <c r="I116">
        <v>36.96</v>
      </c>
      <c r="K116">
        <v>0</v>
      </c>
    </row>
    <row r="117" spans="1:11" x14ac:dyDescent="0.3">
      <c r="A117" s="24">
        <v>8.0625000000000002E-2</v>
      </c>
      <c r="C117">
        <v>199.97</v>
      </c>
      <c r="E117">
        <v>78.34</v>
      </c>
      <c r="G117">
        <v>6.95</v>
      </c>
      <c r="I117">
        <v>36.97</v>
      </c>
      <c r="K117">
        <v>0</v>
      </c>
    </row>
    <row r="118" spans="1:11" x14ac:dyDescent="0.3">
      <c r="A118" s="24">
        <v>8.1319444444444444E-2</v>
      </c>
      <c r="C118">
        <v>199.83</v>
      </c>
      <c r="E118">
        <v>78.08</v>
      </c>
      <c r="G118">
        <v>6.95</v>
      </c>
      <c r="I118">
        <v>37.020000000000003</v>
      </c>
      <c r="K118">
        <v>0</v>
      </c>
    </row>
    <row r="119" spans="1:11" x14ac:dyDescent="0.3">
      <c r="A119" s="24">
        <v>8.2013888888888886E-2</v>
      </c>
      <c r="C119">
        <v>200.8</v>
      </c>
      <c r="E119">
        <v>77.760000000000005</v>
      </c>
      <c r="G119">
        <v>6.95</v>
      </c>
      <c r="I119">
        <v>37</v>
      </c>
      <c r="K119">
        <v>0</v>
      </c>
    </row>
    <row r="120" spans="1:11" x14ac:dyDescent="0.3">
      <c r="A120" s="24">
        <v>8.2708333333333328E-2</v>
      </c>
      <c r="C120">
        <v>199.73</v>
      </c>
      <c r="E120">
        <v>77.36</v>
      </c>
      <c r="G120">
        <v>6.95</v>
      </c>
      <c r="I120">
        <v>37</v>
      </c>
      <c r="K120">
        <v>0</v>
      </c>
    </row>
    <row r="121" spans="1:11" x14ac:dyDescent="0.3">
      <c r="A121" s="24">
        <v>8.3414351851851851E-2</v>
      </c>
      <c r="C121">
        <v>199.84</v>
      </c>
      <c r="E121">
        <v>76.77</v>
      </c>
      <c r="G121">
        <v>6.95</v>
      </c>
      <c r="I121">
        <v>37.07</v>
      </c>
      <c r="K121">
        <v>0</v>
      </c>
    </row>
    <row r="122" spans="1:11" x14ac:dyDescent="0.3">
      <c r="A122" s="24">
        <v>8.4108796296296293E-2</v>
      </c>
      <c r="C122">
        <v>200.13</v>
      </c>
      <c r="E122">
        <v>76.5</v>
      </c>
      <c r="G122">
        <v>6.96</v>
      </c>
      <c r="I122">
        <v>36.99</v>
      </c>
      <c r="K122">
        <v>0</v>
      </c>
    </row>
    <row r="123" spans="1:11" x14ac:dyDescent="0.3">
      <c r="A123" s="24">
        <v>8.4803240740740748E-2</v>
      </c>
      <c r="C123">
        <v>199.96</v>
      </c>
      <c r="E123">
        <v>75.95</v>
      </c>
      <c r="G123">
        <v>6.96</v>
      </c>
      <c r="I123">
        <v>37</v>
      </c>
      <c r="K123">
        <v>0</v>
      </c>
    </row>
    <row r="124" spans="1:11" x14ac:dyDescent="0.3">
      <c r="A124" s="24">
        <v>8.549768518518519E-2</v>
      </c>
      <c r="C124">
        <v>200.21</v>
      </c>
      <c r="E124">
        <v>75.69</v>
      </c>
      <c r="G124">
        <v>6.95</v>
      </c>
      <c r="I124">
        <v>37.020000000000003</v>
      </c>
      <c r="K124">
        <v>0</v>
      </c>
    </row>
    <row r="125" spans="1:11" x14ac:dyDescent="0.3">
      <c r="A125" s="24">
        <v>8.6192129629629632E-2</v>
      </c>
      <c r="C125">
        <v>199.89</v>
      </c>
      <c r="E125">
        <v>75.08</v>
      </c>
      <c r="G125">
        <v>6.95</v>
      </c>
      <c r="I125">
        <v>37.020000000000003</v>
      </c>
      <c r="K125">
        <v>0</v>
      </c>
    </row>
    <row r="126" spans="1:11" x14ac:dyDescent="0.3">
      <c r="A126" s="24">
        <v>8.6886574074074074E-2</v>
      </c>
      <c r="C126">
        <v>200.03</v>
      </c>
      <c r="E126">
        <v>74.75</v>
      </c>
      <c r="G126">
        <v>6.95</v>
      </c>
      <c r="I126">
        <v>36.99</v>
      </c>
      <c r="K126">
        <v>0</v>
      </c>
    </row>
    <row r="127" spans="1:11" x14ac:dyDescent="0.3">
      <c r="A127" s="24">
        <v>8.7581018518518516E-2</v>
      </c>
      <c r="C127">
        <v>199.83</v>
      </c>
      <c r="E127">
        <v>74.150000000000006</v>
      </c>
      <c r="G127">
        <v>6.95</v>
      </c>
      <c r="I127">
        <v>37.049999999999997</v>
      </c>
      <c r="K127">
        <v>0</v>
      </c>
    </row>
    <row r="128" spans="1:11" x14ac:dyDescent="0.3">
      <c r="A128" s="24">
        <v>8.8275462962962958E-2</v>
      </c>
      <c r="C128">
        <v>200.47</v>
      </c>
      <c r="E128">
        <v>73.86</v>
      </c>
      <c r="G128">
        <v>6.95</v>
      </c>
      <c r="I128">
        <v>37.049999999999997</v>
      </c>
      <c r="K128">
        <v>0</v>
      </c>
    </row>
    <row r="129" spans="1:11" x14ac:dyDescent="0.3">
      <c r="A129" s="24">
        <v>8.8981481481481481E-2</v>
      </c>
      <c r="C129">
        <v>200.18</v>
      </c>
      <c r="E129">
        <v>73.209999999999994</v>
      </c>
      <c r="G129">
        <v>6.95</v>
      </c>
      <c r="I129">
        <v>37</v>
      </c>
      <c r="K129">
        <v>0</v>
      </c>
    </row>
    <row r="130" spans="1:11" x14ac:dyDescent="0.3">
      <c r="A130" s="24">
        <v>8.9675925925925923E-2</v>
      </c>
      <c r="C130">
        <v>200.33</v>
      </c>
      <c r="E130">
        <v>72.87</v>
      </c>
      <c r="G130">
        <v>6.95</v>
      </c>
      <c r="I130">
        <v>37</v>
      </c>
      <c r="K130">
        <v>0</v>
      </c>
    </row>
    <row r="131" spans="1:11" x14ac:dyDescent="0.3">
      <c r="A131" s="24">
        <v>9.0347222222222232E-2</v>
      </c>
      <c r="C131">
        <v>201.71</v>
      </c>
      <c r="E131">
        <v>72.37</v>
      </c>
      <c r="G131">
        <v>6.95</v>
      </c>
      <c r="I131">
        <v>37.020000000000003</v>
      </c>
      <c r="K131">
        <v>0</v>
      </c>
    </row>
    <row r="132" spans="1:11" x14ac:dyDescent="0.3">
      <c r="A132" s="24">
        <v>9.1041666666666674E-2</v>
      </c>
      <c r="C132">
        <v>200.15</v>
      </c>
      <c r="E132">
        <v>71.94</v>
      </c>
      <c r="G132">
        <v>6.96</v>
      </c>
      <c r="I132">
        <v>37.04</v>
      </c>
      <c r="K132">
        <v>0</v>
      </c>
    </row>
    <row r="133" spans="1:11" x14ac:dyDescent="0.3">
      <c r="A133" s="24">
        <v>9.1736111111111115E-2</v>
      </c>
      <c r="C133">
        <v>199.99</v>
      </c>
      <c r="E133">
        <v>71.37</v>
      </c>
      <c r="G133">
        <v>6.96</v>
      </c>
      <c r="I133">
        <v>37.04</v>
      </c>
      <c r="K133">
        <v>0</v>
      </c>
    </row>
    <row r="134" spans="1:11" x14ac:dyDescent="0.3">
      <c r="A134" s="24">
        <v>9.2430555555555557E-2</v>
      </c>
      <c r="C134">
        <v>200.65</v>
      </c>
      <c r="E134">
        <v>70.88</v>
      </c>
      <c r="G134">
        <v>6.96</v>
      </c>
      <c r="I134">
        <v>36.99</v>
      </c>
      <c r="K134">
        <v>0</v>
      </c>
    </row>
    <row r="135" spans="1:11" x14ac:dyDescent="0.3">
      <c r="A135" s="24">
        <v>9.3124999999999999E-2</v>
      </c>
      <c r="C135">
        <v>201.47</v>
      </c>
      <c r="E135">
        <v>70.290000000000006</v>
      </c>
      <c r="G135">
        <v>6.95</v>
      </c>
      <c r="I135">
        <v>37</v>
      </c>
      <c r="K135">
        <v>0</v>
      </c>
    </row>
    <row r="136" spans="1:11" x14ac:dyDescent="0.3">
      <c r="A136" s="24">
        <v>9.3819444444444441E-2</v>
      </c>
      <c r="C136">
        <v>199.58</v>
      </c>
      <c r="E136">
        <v>69.89</v>
      </c>
      <c r="G136">
        <v>6.95</v>
      </c>
      <c r="I136">
        <v>37.01</v>
      </c>
      <c r="K136">
        <v>0</v>
      </c>
    </row>
    <row r="137" spans="1:11" x14ac:dyDescent="0.3">
      <c r="A137" s="24">
        <v>9.4513888888888897E-2</v>
      </c>
      <c r="C137">
        <v>199.85</v>
      </c>
      <c r="E137">
        <v>69.42</v>
      </c>
      <c r="G137">
        <v>6.95</v>
      </c>
      <c r="I137">
        <v>37.020000000000003</v>
      </c>
      <c r="K137">
        <v>0</v>
      </c>
    </row>
    <row r="138" spans="1:11" x14ac:dyDescent="0.3">
      <c r="A138" s="24">
        <v>9.521990740740742E-2</v>
      </c>
      <c r="C138">
        <v>199.98</v>
      </c>
      <c r="E138">
        <v>68.87</v>
      </c>
      <c r="G138">
        <v>6.95</v>
      </c>
      <c r="I138">
        <v>36.99</v>
      </c>
      <c r="K138">
        <v>0</v>
      </c>
    </row>
    <row r="139" spans="1:11" x14ac:dyDescent="0.3">
      <c r="A139" s="24">
        <v>9.5914351851851862E-2</v>
      </c>
      <c r="C139">
        <v>198.9</v>
      </c>
      <c r="E139">
        <v>68.52</v>
      </c>
      <c r="G139">
        <v>6.95</v>
      </c>
      <c r="I139">
        <v>36.99</v>
      </c>
      <c r="K139">
        <v>14.35</v>
      </c>
    </row>
    <row r="140" spans="1:11" x14ac:dyDescent="0.3">
      <c r="A140" s="24">
        <v>9.6608796296296304E-2</v>
      </c>
      <c r="C140">
        <v>199.99</v>
      </c>
      <c r="E140">
        <v>67.97</v>
      </c>
      <c r="G140">
        <v>6.96</v>
      </c>
      <c r="I140">
        <v>37.01</v>
      </c>
      <c r="K140">
        <v>0</v>
      </c>
    </row>
    <row r="141" spans="1:11" x14ac:dyDescent="0.3">
      <c r="A141" s="24">
        <v>9.7303240740740746E-2</v>
      </c>
      <c r="C141">
        <v>199.94</v>
      </c>
      <c r="E141">
        <v>67.58</v>
      </c>
      <c r="G141">
        <v>6.95</v>
      </c>
      <c r="I141">
        <v>37.020000000000003</v>
      </c>
      <c r="K141">
        <v>0</v>
      </c>
    </row>
    <row r="142" spans="1:11" x14ac:dyDescent="0.3">
      <c r="A142" s="24">
        <v>9.7997685185185188E-2</v>
      </c>
      <c r="C142">
        <v>199.61</v>
      </c>
      <c r="E142">
        <v>66.97</v>
      </c>
      <c r="G142">
        <v>6.95</v>
      </c>
      <c r="I142">
        <v>37.01</v>
      </c>
      <c r="K142">
        <v>0</v>
      </c>
    </row>
    <row r="143" spans="1:11" x14ac:dyDescent="0.3">
      <c r="A143" s="24">
        <v>9.869212962962963E-2</v>
      </c>
      <c r="C143">
        <v>199.46</v>
      </c>
      <c r="E143">
        <v>66.47</v>
      </c>
      <c r="G143">
        <v>6.95</v>
      </c>
      <c r="I143">
        <v>37.01</v>
      </c>
      <c r="K143">
        <v>0</v>
      </c>
    </row>
    <row r="144" spans="1:11" x14ac:dyDescent="0.3">
      <c r="A144" s="24">
        <v>9.9386574074074072E-2</v>
      </c>
      <c r="C144">
        <v>199.65</v>
      </c>
      <c r="E144">
        <v>65.739999999999995</v>
      </c>
      <c r="G144">
        <v>6.95</v>
      </c>
      <c r="I144">
        <v>36.979999999999997</v>
      </c>
      <c r="K144">
        <v>0</v>
      </c>
    </row>
    <row r="145" spans="1:11" x14ac:dyDescent="0.3">
      <c r="A145" s="24">
        <v>0.10008101851851851</v>
      </c>
      <c r="C145">
        <v>200.33</v>
      </c>
      <c r="E145">
        <v>65.349999999999994</v>
      </c>
      <c r="G145">
        <v>6.95</v>
      </c>
      <c r="I145">
        <v>36.979999999999997</v>
      </c>
      <c r="K145">
        <v>0</v>
      </c>
    </row>
    <row r="146" spans="1:11" x14ac:dyDescent="0.3">
      <c r="A146" s="24">
        <v>0.10077546296296297</v>
      </c>
      <c r="C146">
        <v>200.71</v>
      </c>
      <c r="E146">
        <v>64.8</v>
      </c>
      <c r="G146">
        <v>6.95</v>
      </c>
      <c r="I146">
        <v>37</v>
      </c>
      <c r="K146">
        <v>0</v>
      </c>
    </row>
    <row r="147" spans="1:11" x14ac:dyDescent="0.3">
      <c r="A147" s="24">
        <v>0.10148148148148149</v>
      </c>
      <c r="C147">
        <v>200.89</v>
      </c>
      <c r="E147">
        <v>64.12</v>
      </c>
      <c r="G147">
        <v>6.95</v>
      </c>
      <c r="I147">
        <v>36.99</v>
      </c>
      <c r="K147">
        <v>0</v>
      </c>
    </row>
    <row r="148" spans="1:11" x14ac:dyDescent="0.3">
      <c r="A148" s="24">
        <v>0.10215277777777777</v>
      </c>
      <c r="C148">
        <v>200.27</v>
      </c>
      <c r="E148">
        <v>63.6</v>
      </c>
      <c r="G148">
        <v>6.96</v>
      </c>
      <c r="I148">
        <v>36.96</v>
      </c>
      <c r="K148">
        <v>0</v>
      </c>
    </row>
    <row r="149" spans="1:11" x14ac:dyDescent="0.3">
      <c r="A149" s="24">
        <v>0.10284722222222221</v>
      </c>
      <c r="C149">
        <v>200.27</v>
      </c>
      <c r="E149">
        <v>63.14</v>
      </c>
      <c r="G149">
        <v>6.96</v>
      </c>
      <c r="I149">
        <v>36.96</v>
      </c>
      <c r="K149">
        <v>0</v>
      </c>
    </row>
    <row r="150" spans="1:11" x14ac:dyDescent="0.3">
      <c r="A150" s="24">
        <v>0.10354166666666666</v>
      </c>
      <c r="C150">
        <v>202.36</v>
      </c>
      <c r="E150">
        <v>62.46</v>
      </c>
      <c r="G150">
        <v>6.95</v>
      </c>
      <c r="I150">
        <v>37</v>
      </c>
      <c r="K150">
        <v>0</v>
      </c>
    </row>
    <row r="151" spans="1:11" x14ac:dyDescent="0.3">
      <c r="A151" s="24">
        <v>0.10423611111111113</v>
      </c>
      <c r="C151">
        <v>199.91</v>
      </c>
      <c r="E151">
        <v>61.8</v>
      </c>
      <c r="G151">
        <v>6.95</v>
      </c>
      <c r="I151">
        <v>37</v>
      </c>
      <c r="K151">
        <v>0</v>
      </c>
    </row>
    <row r="152" spans="1:11" x14ac:dyDescent="0.3">
      <c r="A152" s="24">
        <v>0.10493055555555557</v>
      </c>
      <c r="C152">
        <v>200.78</v>
      </c>
      <c r="E152">
        <v>61.08</v>
      </c>
      <c r="G152">
        <v>6.95</v>
      </c>
      <c r="I152">
        <v>37.01</v>
      </c>
      <c r="K152">
        <v>0</v>
      </c>
    </row>
    <row r="153" spans="1:11" x14ac:dyDescent="0.3">
      <c r="A153" s="24">
        <v>0.10562500000000001</v>
      </c>
      <c r="C153">
        <v>199.99</v>
      </c>
      <c r="E153">
        <v>60.46</v>
      </c>
      <c r="G153">
        <v>6.95</v>
      </c>
      <c r="I153">
        <v>36.99</v>
      </c>
      <c r="K153">
        <v>0</v>
      </c>
    </row>
    <row r="154" spans="1:11" x14ac:dyDescent="0.3">
      <c r="A154" s="24">
        <v>0.10631944444444445</v>
      </c>
      <c r="C154">
        <v>200.74</v>
      </c>
      <c r="E154">
        <v>59.58</v>
      </c>
      <c r="G154">
        <v>6.96</v>
      </c>
      <c r="I154">
        <v>37.06</v>
      </c>
      <c r="K154">
        <v>0</v>
      </c>
    </row>
    <row r="155" spans="1:11" x14ac:dyDescent="0.3">
      <c r="A155" s="24">
        <v>0.10702546296296296</v>
      </c>
      <c r="C155">
        <v>199.92</v>
      </c>
      <c r="E155">
        <v>59</v>
      </c>
      <c r="G155">
        <v>6.95</v>
      </c>
      <c r="I155">
        <v>37.020000000000003</v>
      </c>
      <c r="K155">
        <v>0</v>
      </c>
    </row>
    <row r="156" spans="1:11" x14ac:dyDescent="0.3">
      <c r="A156" s="24">
        <v>0.1077199074074074</v>
      </c>
      <c r="C156">
        <v>199.44</v>
      </c>
      <c r="E156">
        <v>58.66</v>
      </c>
      <c r="G156">
        <v>6.95</v>
      </c>
      <c r="I156">
        <v>37</v>
      </c>
      <c r="K156">
        <v>0</v>
      </c>
    </row>
    <row r="157" spans="1:11" x14ac:dyDescent="0.3">
      <c r="A157" s="24">
        <v>0.10841435185185185</v>
      </c>
      <c r="C157">
        <v>199.64</v>
      </c>
      <c r="E157">
        <v>57.57</v>
      </c>
      <c r="G157">
        <v>6.95</v>
      </c>
      <c r="I157">
        <v>37.020000000000003</v>
      </c>
      <c r="K157">
        <v>0</v>
      </c>
    </row>
    <row r="158" spans="1:11" x14ac:dyDescent="0.3">
      <c r="A158" s="24">
        <v>0.10910879629629629</v>
      </c>
      <c r="C158">
        <v>199.97</v>
      </c>
      <c r="E158">
        <v>56.83</v>
      </c>
      <c r="G158">
        <v>6.95</v>
      </c>
      <c r="I158">
        <v>37.049999999999997</v>
      </c>
      <c r="K158">
        <v>0</v>
      </c>
    </row>
    <row r="159" spans="1:11" x14ac:dyDescent="0.3">
      <c r="A159" s="24">
        <v>0.10980324074074073</v>
      </c>
      <c r="C159">
        <v>200.45</v>
      </c>
      <c r="E159">
        <v>55.96</v>
      </c>
      <c r="G159">
        <v>6.96</v>
      </c>
      <c r="I159">
        <v>37.020000000000003</v>
      </c>
      <c r="K159">
        <v>0</v>
      </c>
    </row>
    <row r="160" spans="1:11" x14ac:dyDescent="0.3">
      <c r="A160" s="24">
        <v>0.11049768518518517</v>
      </c>
      <c r="C160">
        <v>199.18</v>
      </c>
      <c r="E160">
        <v>55.46</v>
      </c>
      <c r="G160">
        <v>6.96</v>
      </c>
      <c r="I160">
        <v>37</v>
      </c>
      <c r="K160">
        <v>0</v>
      </c>
    </row>
    <row r="161" spans="1:11" x14ac:dyDescent="0.3">
      <c r="A161" s="24">
        <v>0.11119212962962964</v>
      </c>
      <c r="C161">
        <v>201</v>
      </c>
      <c r="E161">
        <v>54.15</v>
      </c>
      <c r="G161">
        <v>6.95</v>
      </c>
      <c r="I161">
        <v>37.03</v>
      </c>
      <c r="K161">
        <v>0</v>
      </c>
    </row>
    <row r="162" spans="1:11" x14ac:dyDescent="0.3">
      <c r="A162" s="24">
        <v>0.11188657407407408</v>
      </c>
      <c r="C162">
        <v>200.08</v>
      </c>
      <c r="E162">
        <v>53.54</v>
      </c>
      <c r="G162">
        <v>6.95</v>
      </c>
      <c r="I162">
        <v>37.020000000000003</v>
      </c>
      <c r="K162">
        <v>0</v>
      </c>
    </row>
    <row r="163" spans="1:11" x14ac:dyDescent="0.3">
      <c r="A163" s="24">
        <v>0.11258101851851852</v>
      </c>
      <c r="C163">
        <v>200.05</v>
      </c>
      <c r="E163">
        <v>52.91</v>
      </c>
      <c r="G163">
        <v>6.95</v>
      </c>
      <c r="I163">
        <v>36.99</v>
      </c>
      <c r="K163">
        <v>0</v>
      </c>
    </row>
    <row r="164" spans="1:11" x14ac:dyDescent="0.3">
      <c r="A164" s="24">
        <v>0.11328703703703703</v>
      </c>
      <c r="C164">
        <v>199.7</v>
      </c>
      <c r="E164">
        <v>52.16</v>
      </c>
      <c r="G164">
        <v>6.95</v>
      </c>
      <c r="I164">
        <v>36.99</v>
      </c>
      <c r="K164">
        <v>0</v>
      </c>
    </row>
    <row r="165" spans="1:11" x14ac:dyDescent="0.3">
      <c r="A165" s="24">
        <v>0.11395833333333333</v>
      </c>
      <c r="C165">
        <v>199.52</v>
      </c>
      <c r="E165">
        <v>51.65</v>
      </c>
      <c r="G165">
        <v>6.95</v>
      </c>
      <c r="I165">
        <v>37.03</v>
      </c>
      <c r="K165">
        <v>0</v>
      </c>
    </row>
    <row r="166" spans="1:11" x14ac:dyDescent="0.3">
      <c r="A166" s="24">
        <v>0.11465277777777778</v>
      </c>
      <c r="C166">
        <v>199.02</v>
      </c>
      <c r="E166">
        <v>50.63</v>
      </c>
      <c r="G166">
        <v>6.95</v>
      </c>
      <c r="I166">
        <v>37</v>
      </c>
      <c r="K166">
        <v>0</v>
      </c>
    </row>
    <row r="167" spans="1:11" x14ac:dyDescent="0.3">
      <c r="A167" s="24">
        <v>0.11534722222222223</v>
      </c>
      <c r="C167">
        <v>200.13</v>
      </c>
      <c r="E167">
        <v>49.87</v>
      </c>
      <c r="G167">
        <v>6.96</v>
      </c>
      <c r="I167">
        <v>36.99</v>
      </c>
      <c r="K167">
        <v>0</v>
      </c>
    </row>
    <row r="168" spans="1:11" x14ac:dyDescent="0.3">
      <c r="A168" s="24">
        <v>0.11604166666666667</v>
      </c>
      <c r="C168">
        <v>199.68</v>
      </c>
      <c r="E168">
        <v>49.15</v>
      </c>
      <c r="G168">
        <v>6.95</v>
      </c>
      <c r="I168">
        <v>37.020000000000003</v>
      </c>
      <c r="K168">
        <v>0</v>
      </c>
    </row>
    <row r="169" spans="1:11" x14ac:dyDescent="0.3">
      <c r="A169" s="24">
        <v>0.11673611111111111</v>
      </c>
      <c r="C169">
        <v>199.82</v>
      </c>
      <c r="E169">
        <v>48.53</v>
      </c>
      <c r="G169">
        <v>6.95</v>
      </c>
      <c r="I169">
        <v>36.96</v>
      </c>
      <c r="K169">
        <v>0</v>
      </c>
    </row>
    <row r="170" spans="1:11" x14ac:dyDescent="0.3">
      <c r="A170" s="24">
        <v>0.11743055555555555</v>
      </c>
      <c r="C170">
        <v>200.49</v>
      </c>
      <c r="E170">
        <v>47.46</v>
      </c>
      <c r="G170">
        <v>6.95</v>
      </c>
      <c r="I170">
        <v>37.01</v>
      </c>
      <c r="K170">
        <v>0</v>
      </c>
    </row>
    <row r="171" spans="1:11" x14ac:dyDescent="0.3">
      <c r="A171" s="24">
        <v>0.11812499999999999</v>
      </c>
      <c r="C171">
        <v>200.1</v>
      </c>
      <c r="E171">
        <v>46.68</v>
      </c>
      <c r="G171">
        <v>6.95</v>
      </c>
      <c r="I171">
        <v>37.07</v>
      </c>
      <c r="K171">
        <v>0</v>
      </c>
    </row>
    <row r="172" spans="1:11" x14ac:dyDescent="0.3">
      <c r="A172" s="24">
        <v>0.11881944444444444</v>
      </c>
      <c r="C172">
        <v>199.97</v>
      </c>
      <c r="E172">
        <v>45.57</v>
      </c>
      <c r="G172">
        <v>6.96</v>
      </c>
      <c r="I172">
        <v>37.03</v>
      </c>
      <c r="K172">
        <v>0</v>
      </c>
    </row>
    <row r="173" spans="1:11" x14ac:dyDescent="0.3">
      <c r="A173" s="24">
        <v>0.11952546296296296</v>
      </c>
      <c r="C173">
        <v>199.92</v>
      </c>
      <c r="E173">
        <v>45.34</v>
      </c>
      <c r="G173">
        <v>6.95</v>
      </c>
      <c r="I173">
        <v>37.04</v>
      </c>
      <c r="K173">
        <v>0</v>
      </c>
    </row>
    <row r="174" spans="1:11" x14ac:dyDescent="0.3">
      <c r="A174" s="24">
        <v>0.1202199074074074</v>
      </c>
      <c r="C174">
        <v>200.01</v>
      </c>
      <c r="E174">
        <v>44.25</v>
      </c>
      <c r="G174">
        <v>6.95</v>
      </c>
      <c r="I174">
        <v>36.96</v>
      </c>
      <c r="K174">
        <v>0</v>
      </c>
    </row>
    <row r="175" spans="1:11" x14ac:dyDescent="0.3">
      <c r="A175" s="24">
        <v>0.12091435185185184</v>
      </c>
      <c r="C175">
        <v>200.08</v>
      </c>
      <c r="E175">
        <v>43.23</v>
      </c>
      <c r="G175">
        <v>6.95</v>
      </c>
      <c r="I175">
        <v>36.99</v>
      </c>
      <c r="K175">
        <v>0</v>
      </c>
    </row>
    <row r="176" spans="1:11" x14ac:dyDescent="0.3">
      <c r="A176" s="24">
        <v>0.1216087962962963</v>
      </c>
      <c r="C176">
        <v>200.61</v>
      </c>
      <c r="E176">
        <v>42.22</v>
      </c>
      <c r="G176">
        <v>6.95</v>
      </c>
      <c r="I176">
        <v>36.99</v>
      </c>
      <c r="K176">
        <v>0</v>
      </c>
    </row>
    <row r="177" spans="1:11" x14ac:dyDescent="0.3">
      <c r="A177" s="24">
        <v>0.12230324074074074</v>
      </c>
      <c r="C177">
        <v>200.18</v>
      </c>
      <c r="E177">
        <v>41.79</v>
      </c>
      <c r="G177">
        <v>6.95</v>
      </c>
      <c r="I177">
        <v>36.97</v>
      </c>
      <c r="K177">
        <v>0</v>
      </c>
    </row>
    <row r="178" spans="1:11" x14ac:dyDescent="0.3">
      <c r="A178" s="24">
        <v>0.12299768518518518</v>
      </c>
      <c r="C178">
        <v>200.4</v>
      </c>
      <c r="E178">
        <v>40.799999999999997</v>
      </c>
      <c r="G178">
        <v>6.96</v>
      </c>
      <c r="I178">
        <v>37.01</v>
      </c>
      <c r="K178">
        <v>0</v>
      </c>
    </row>
    <row r="179" spans="1:11" x14ac:dyDescent="0.3">
      <c r="A179" s="24">
        <v>0.12369212962962962</v>
      </c>
      <c r="C179">
        <v>200.21</v>
      </c>
      <c r="E179">
        <v>39.94</v>
      </c>
      <c r="G179">
        <v>6.96</v>
      </c>
      <c r="I179">
        <v>36.97</v>
      </c>
      <c r="K179">
        <v>0</v>
      </c>
    </row>
    <row r="180" spans="1:11" x14ac:dyDescent="0.3">
      <c r="A180" s="24">
        <v>0.12438657407407407</v>
      </c>
      <c r="C180">
        <v>199.93</v>
      </c>
      <c r="E180">
        <v>39</v>
      </c>
      <c r="G180">
        <v>6.95</v>
      </c>
      <c r="I180">
        <v>37.049999999999997</v>
      </c>
      <c r="K180">
        <v>0</v>
      </c>
    </row>
    <row r="181" spans="1:11" x14ac:dyDescent="0.3">
      <c r="A181" s="24">
        <v>0.12509259259259259</v>
      </c>
      <c r="C181">
        <v>199.74</v>
      </c>
      <c r="E181">
        <v>37.99</v>
      </c>
      <c r="G181">
        <v>6.95</v>
      </c>
      <c r="I181">
        <v>37.020000000000003</v>
      </c>
      <c r="K181">
        <v>0</v>
      </c>
    </row>
    <row r="182" spans="1:11" x14ac:dyDescent="0.3">
      <c r="A182" s="24">
        <v>0.12578703703703703</v>
      </c>
      <c r="C182">
        <v>200.29</v>
      </c>
      <c r="E182">
        <v>37.36</v>
      </c>
      <c r="G182">
        <v>6.95</v>
      </c>
      <c r="I182">
        <v>37.020000000000003</v>
      </c>
      <c r="K182">
        <v>0</v>
      </c>
    </row>
    <row r="183" spans="1:11" x14ac:dyDescent="0.3">
      <c r="A183" s="24">
        <v>0.12645833333333334</v>
      </c>
      <c r="C183">
        <v>199.8</v>
      </c>
      <c r="E183">
        <v>36.880000000000003</v>
      </c>
      <c r="G183">
        <v>6.95</v>
      </c>
      <c r="I183">
        <v>37</v>
      </c>
      <c r="K183">
        <v>0</v>
      </c>
    </row>
    <row r="184" spans="1:11" x14ac:dyDescent="0.3">
      <c r="A184" s="24">
        <v>0.12715277777777778</v>
      </c>
      <c r="C184">
        <v>200.99</v>
      </c>
      <c r="E184">
        <v>35.31</v>
      </c>
      <c r="G184">
        <v>6.95</v>
      </c>
      <c r="I184">
        <v>37.020000000000003</v>
      </c>
      <c r="K184">
        <v>0</v>
      </c>
    </row>
    <row r="185" spans="1:11" x14ac:dyDescent="0.3">
      <c r="A185" s="24">
        <v>0.12784722222222222</v>
      </c>
      <c r="C185">
        <v>200.51</v>
      </c>
      <c r="E185">
        <v>34.44</v>
      </c>
      <c r="G185">
        <v>6.95</v>
      </c>
      <c r="I185">
        <v>37.049999999999997</v>
      </c>
      <c r="K185">
        <v>14.45</v>
      </c>
    </row>
    <row r="186" spans="1:11" x14ac:dyDescent="0.3">
      <c r="A186" s="24">
        <v>0.12854166666666667</v>
      </c>
      <c r="C186">
        <v>199.6</v>
      </c>
      <c r="E186">
        <v>33.479999999999997</v>
      </c>
      <c r="G186">
        <v>6.96</v>
      </c>
      <c r="I186">
        <v>37.020000000000003</v>
      </c>
      <c r="K186">
        <v>0</v>
      </c>
    </row>
    <row r="187" spans="1:11" x14ac:dyDescent="0.3">
      <c r="A187" s="24">
        <v>0.12923611111111111</v>
      </c>
      <c r="C187">
        <v>200.36</v>
      </c>
      <c r="E187">
        <v>32.32</v>
      </c>
      <c r="G187">
        <v>6.95</v>
      </c>
      <c r="I187">
        <v>37.020000000000003</v>
      </c>
      <c r="K187">
        <v>0</v>
      </c>
    </row>
    <row r="188" spans="1:11" x14ac:dyDescent="0.3">
      <c r="A188" s="24">
        <v>0.12993055555555555</v>
      </c>
      <c r="C188">
        <v>200.11</v>
      </c>
      <c r="E188">
        <v>31.59</v>
      </c>
      <c r="G188">
        <v>6.95</v>
      </c>
      <c r="I188">
        <v>37.06</v>
      </c>
      <c r="K188">
        <v>0</v>
      </c>
    </row>
    <row r="189" spans="1:11" x14ac:dyDescent="0.3">
      <c r="A189" s="24">
        <v>0.13062499999999999</v>
      </c>
      <c r="C189">
        <v>199.84</v>
      </c>
      <c r="E189">
        <v>30.34</v>
      </c>
      <c r="G189">
        <v>6.95</v>
      </c>
      <c r="I189">
        <v>36.950000000000003</v>
      </c>
      <c r="K189">
        <v>14.35</v>
      </c>
    </row>
    <row r="190" spans="1:11" x14ac:dyDescent="0.3">
      <c r="A190" s="24">
        <v>0.13133101851851853</v>
      </c>
      <c r="C190">
        <v>199.69</v>
      </c>
      <c r="E190">
        <v>29.35</v>
      </c>
      <c r="G190">
        <v>6.95</v>
      </c>
      <c r="I190">
        <v>37.020000000000003</v>
      </c>
      <c r="K190">
        <v>0</v>
      </c>
    </row>
    <row r="191" spans="1:11" x14ac:dyDescent="0.3">
      <c r="A191" s="24">
        <v>0.13202546296296297</v>
      </c>
      <c r="C191">
        <v>200.16</v>
      </c>
      <c r="E191">
        <v>28.06</v>
      </c>
      <c r="G191">
        <v>6.95</v>
      </c>
      <c r="I191">
        <v>37.020000000000003</v>
      </c>
      <c r="K191">
        <v>0</v>
      </c>
    </row>
    <row r="192" spans="1:11" x14ac:dyDescent="0.3">
      <c r="A192" s="24">
        <v>0.13271990740740741</v>
      </c>
      <c r="C192">
        <v>199.93</v>
      </c>
      <c r="E192">
        <v>26.98</v>
      </c>
      <c r="G192">
        <v>6.95</v>
      </c>
      <c r="I192">
        <v>37.049999999999997</v>
      </c>
      <c r="K192">
        <v>0</v>
      </c>
    </row>
    <row r="193" spans="1:11" x14ac:dyDescent="0.3">
      <c r="A193" s="24">
        <v>0.13341435185185185</v>
      </c>
      <c r="C193">
        <v>200.19</v>
      </c>
      <c r="E193">
        <v>25.97</v>
      </c>
      <c r="G193">
        <v>6.95</v>
      </c>
      <c r="I193">
        <v>37.07</v>
      </c>
      <c r="K193">
        <v>0</v>
      </c>
    </row>
    <row r="194" spans="1:11" x14ac:dyDescent="0.3">
      <c r="A194" s="24">
        <v>0.1341087962962963</v>
      </c>
      <c r="C194">
        <v>200.14</v>
      </c>
      <c r="E194">
        <v>25.04</v>
      </c>
      <c r="G194">
        <v>6.95</v>
      </c>
      <c r="I194">
        <v>37.049999999999997</v>
      </c>
      <c r="K194">
        <v>0</v>
      </c>
    </row>
    <row r="195" spans="1:11" x14ac:dyDescent="0.3">
      <c r="A195" s="24">
        <v>0.13480324074074074</v>
      </c>
      <c r="C195">
        <v>200.55</v>
      </c>
      <c r="E195">
        <v>23.59</v>
      </c>
      <c r="G195">
        <v>6.95</v>
      </c>
      <c r="I195">
        <v>37.01</v>
      </c>
      <c r="K195">
        <v>14.45</v>
      </c>
    </row>
    <row r="196" spans="1:11" x14ac:dyDescent="0.3">
      <c r="A196" s="24">
        <v>0.13549768518518518</v>
      </c>
      <c r="C196">
        <v>200.41</v>
      </c>
      <c r="E196">
        <v>22.46</v>
      </c>
      <c r="G196">
        <v>6.95</v>
      </c>
      <c r="I196">
        <v>37.049999999999997</v>
      </c>
      <c r="K196">
        <v>0</v>
      </c>
    </row>
    <row r="197" spans="1:11" x14ac:dyDescent="0.3">
      <c r="A197" s="24">
        <v>0.13619212962962965</v>
      </c>
      <c r="C197">
        <v>199.77</v>
      </c>
      <c r="E197">
        <v>21.37</v>
      </c>
      <c r="G197">
        <v>6.95</v>
      </c>
      <c r="I197">
        <v>36.99</v>
      </c>
      <c r="K197">
        <v>0</v>
      </c>
    </row>
    <row r="198" spans="1:11" x14ac:dyDescent="0.3">
      <c r="A198" s="24">
        <v>0.13688657407407409</v>
      </c>
      <c r="C198">
        <v>200.9</v>
      </c>
      <c r="E198">
        <v>19.989999999999998</v>
      </c>
      <c r="G198">
        <v>6.95</v>
      </c>
      <c r="I198">
        <v>37.04</v>
      </c>
      <c r="K198">
        <v>0</v>
      </c>
    </row>
    <row r="199" spans="1:11" x14ac:dyDescent="0.3">
      <c r="A199" s="24">
        <v>0.1375925925925926</v>
      </c>
      <c r="C199">
        <v>199.41</v>
      </c>
      <c r="E199">
        <v>19.190000000000001</v>
      </c>
      <c r="G199">
        <v>6.95</v>
      </c>
      <c r="I199">
        <v>37.020000000000003</v>
      </c>
      <c r="K199">
        <v>0</v>
      </c>
    </row>
    <row r="200" spans="1:11" x14ac:dyDescent="0.3">
      <c r="A200" s="24">
        <v>0.13826388888888888</v>
      </c>
      <c r="C200">
        <v>199.57</v>
      </c>
      <c r="E200">
        <v>17.95</v>
      </c>
      <c r="G200">
        <v>6.95</v>
      </c>
      <c r="I200">
        <v>37.020000000000003</v>
      </c>
      <c r="K200">
        <v>14.35</v>
      </c>
    </row>
    <row r="201" spans="1:11" x14ac:dyDescent="0.3">
      <c r="A201" s="24">
        <v>0.13895833333333332</v>
      </c>
      <c r="C201">
        <v>303.27</v>
      </c>
      <c r="E201">
        <v>17.63</v>
      </c>
      <c r="G201">
        <v>6.96</v>
      </c>
      <c r="I201">
        <v>36.979999999999997</v>
      </c>
      <c r="K201">
        <v>0</v>
      </c>
    </row>
    <row r="202" spans="1:11" x14ac:dyDescent="0.3">
      <c r="A202" s="24">
        <v>0.13965277777777776</v>
      </c>
      <c r="C202">
        <v>315.38</v>
      </c>
      <c r="E202">
        <v>34.520000000000003</v>
      </c>
      <c r="G202">
        <v>6.95</v>
      </c>
      <c r="I202">
        <v>36.99</v>
      </c>
      <c r="K202">
        <v>0</v>
      </c>
    </row>
    <row r="203" spans="1:11" x14ac:dyDescent="0.3">
      <c r="A203" s="24">
        <v>0.14034722222222221</v>
      </c>
      <c r="C203">
        <v>301.44</v>
      </c>
      <c r="E203">
        <v>45.4</v>
      </c>
      <c r="G203">
        <v>6.95</v>
      </c>
      <c r="I203">
        <v>37.01</v>
      </c>
      <c r="K203">
        <v>0</v>
      </c>
    </row>
    <row r="204" spans="1:11" x14ac:dyDescent="0.3">
      <c r="A204" s="24">
        <v>0.14104166666666665</v>
      </c>
      <c r="C204">
        <v>268.77999999999997</v>
      </c>
      <c r="E204">
        <v>47.11</v>
      </c>
      <c r="G204">
        <v>6.95</v>
      </c>
      <c r="I204">
        <v>37</v>
      </c>
      <c r="K204">
        <v>0</v>
      </c>
    </row>
    <row r="205" spans="1:11" x14ac:dyDescent="0.3">
      <c r="A205" s="24">
        <v>0.14173611111111112</v>
      </c>
      <c r="C205">
        <v>255.96</v>
      </c>
      <c r="E205">
        <v>45.17</v>
      </c>
      <c r="G205">
        <v>6.95</v>
      </c>
      <c r="I205">
        <v>37</v>
      </c>
      <c r="K205">
        <v>0</v>
      </c>
    </row>
    <row r="206" spans="1:11" x14ac:dyDescent="0.3">
      <c r="A206" s="24">
        <v>0.14243055555555556</v>
      </c>
      <c r="C206">
        <v>251.74</v>
      </c>
      <c r="E206">
        <v>39.32</v>
      </c>
      <c r="G206">
        <v>6.95</v>
      </c>
      <c r="I206">
        <v>36.99</v>
      </c>
      <c r="K206">
        <v>0</v>
      </c>
    </row>
    <row r="207" spans="1:11" x14ac:dyDescent="0.3">
      <c r="A207" s="24">
        <v>0.143125</v>
      </c>
      <c r="C207">
        <v>265.72000000000003</v>
      </c>
      <c r="E207">
        <v>37.42</v>
      </c>
      <c r="G207">
        <v>6.95</v>
      </c>
      <c r="I207">
        <v>36.99</v>
      </c>
      <c r="K207">
        <v>0</v>
      </c>
    </row>
    <row r="208" spans="1:11" x14ac:dyDescent="0.3">
      <c r="A208" s="24">
        <v>0.14383101851851851</v>
      </c>
      <c r="C208">
        <v>270.42</v>
      </c>
      <c r="E208">
        <v>37.51</v>
      </c>
      <c r="G208">
        <v>6.95</v>
      </c>
      <c r="I208">
        <v>36.96</v>
      </c>
      <c r="K208">
        <v>0</v>
      </c>
    </row>
    <row r="209" spans="1:11" x14ac:dyDescent="0.3">
      <c r="A209" s="24">
        <v>0.14452546296296295</v>
      </c>
      <c r="C209">
        <v>277.5</v>
      </c>
      <c r="E209">
        <v>38.82</v>
      </c>
      <c r="G209">
        <v>6.95</v>
      </c>
      <c r="I209">
        <v>36.99</v>
      </c>
      <c r="K209">
        <v>0</v>
      </c>
    </row>
    <row r="210" spans="1:11" x14ac:dyDescent="0.3">
      <c r="A210" s="24">
        <v>0.14521990740740739</v>
      </c>
      <c r="C210">
        <v>278.08999999999997</v>
      </c>
      <c r="E210">
        <v>39.82</v>
      </c>
      <c r="G210">
        <v>6.95</v>
      </c>
      <c r="I210">
        <v>37.049999999999997</v>
      </c>
      <c r="K210">
        <v>0</v>
      </c>
    </row>
    <row r="211" spans="1:11" x14ac:dyDescent="0.3">
      <c r="A211" s="24">
        <v>0.14591435185185184</v>
      </c>
      <c r="C211">
        <v>276.94</v>
      </c>
      <c r="E211">
        <v>40.07</v>
      </c>
      <c r="G211">
        <v>6.95</v>
      </c>
      <c r="I211">
        <v>36.99</v>
      </c>
      <c r="K211">
        <v>0</v>
      </c>
    </row>
    <row r="212" spans="1:11" x14ac:dyDescent="0.3">
      <c r="A212" s="24">
        <v>0.14660879629629631</v>
      </c>
      <c r="C212">
        <v>280.51</v>
      </c>
      <c r="E212">
        <v>39.49</v>
      </c>
      <c r="G212">
        <v>6.95</v>
      </c>
      <c r="I212">
        <v>37.06</v>
      </c>
      <c r="K212">
        <v>0</v>
      </c>
    </row>
    <row r="213" spans="1:11" x14ac:dyDescent="0.3">
      <c r="A213" s="24">
        <v>0.14730324074074075</v>
      </c>
      <c r="C213">
        <v>281.17</v>
      </c>
      <c r="E213">
        <v>39.49</v>
      </c>
      <c r="G213">
        <v>6.95</v>
      </c>
      <c r="I213">
        <v>37.04</v>
      </c>
      <c r="K213">
        <v>0</v>
      </c>
    </row>
    <row r="214" spans="1:11" x14ac:dyDescent="0.3">
      <c r="A214" s="24">
        <v>0.14799768518518519</v>
      </c>
      <c r="C214">
        <v>283.58</v>
      </c>
      <c r="E214">
        <v>38.909999999999997</v>
      </c>
      <c r="G214">
        <v>6.95</v>
      </c>
      <c r="I214">
        <v>36.979999999999997</v>
      </c>
      <c r="K214">
        <v>14.35</v>
      </c>
    </row>
    <row r="215" spans="1:11" x14ac:dyDescent="0.3">
      <c r="A215" s="24">
        <v>0.14869212962962963</v>
      </c>
      <c r="C215">
        <v>286.64</v>
      </c>
      <c r="E215">
        <v>39.18</v>
      </c>
      <c r="G215">
        <v>6.95</v>
      </c>
      <c r="I215">
        <v>37.020000000000003</v>
      </c>
      <c r="K215">
        <v>0</v>
      </c>
    </row>
    <row r="216" spans="1:11" x14ac:dyDescent="0.3">
      <c r="A216" s="24">
        <v>0.14939814814814814</v>
      </c>
      <c r="C216">
        <v>289.08</v>
      </c>
      <c r="E216">
        <v>38.9</v>
      </c>
      <c r="G216">
        <v>6.95</v>
      </c>
      <c r="I216">
        <v>37.03</v>
      </c>
      <c r="K216">
        <v>14.35</v>
      </c>
    </row>
    <row r="217" spans="1:11" x14ac:dyDescent="0.3">
      <c r="A217" s="24">
        <v>0.15009259259259258</v>
      </c>
      <c r="C217">
        <v>290.10000000000002</v>
      </c>
      <c r="E217">
        <v>39.28</v>
      </c>
      <c r="G217">
        <v>6.96</v>
      </c>
      <c r="I217">
        <v>37.020000000000003</v>
      </c>
      <c r="K217">
        <v>0</v>
      </c>
    </row>
    <row r="218" spans="1:11" x14ac:dyDescent="0.3">
      <c r="A218" s="24">
        <v>0.15076388888888889</v>
      </c>
      <c r="C218">
        <v>293.36</v>
      </c>
      <c r="E218">
        <v>39.14</v>
      </c>
      <c r="G218">
        <v>6.95</v>
      </c>
      <c r="I218">
        <v>37.06</v>
      </c>
      <c r="K218">
        <v>0</v>
      </c>
    </row>
    <row r="219" spans="1:11" x14ac:dyDescent="0.3">
      <c r="A219" s="24">
        <v>0.15145833333333333</v>
      </c>
      <c r="C219">
        <v>294.77999999999997</v>
      </c>
      <c r="E219">
        <v>39.4</v>
      </c>
      <c r="G219">
        <v>6.95</v>
      </c>
      <c r="I219">
        <v>37.020000000000003</v>
      </c>
      <c r="K219">
        <v>0</v>
      </c>
    </row>
    <row r="220" spans="1:11" x14ac:dyDescent="0.3">
      <c r="A220" s="24">
        <v>0.15215277777777778</v>
      </c>
      <c r="C220">
        <v>296.97000000000003</v>
      </c>
      <c r="E220">
        <v>39.1</v>
      </c>
      <c r="G220">
        <v>6.95</v>
      </c>
      <c r="I220">
        <v>37.049999999999997</v>
      </c>
      <c r="K220">
        <v>0</v>
      </c>
    </row>
    <row r="221" spans="1:11" x14ac:dyDescent="0.3">
      <c r="A221" s="24">
        <v>0.15284722222222222</v>
      </c>
      <c r="C221">
        <v>298.49</v>
      </c>
      <c r="E221">
        <v>38.979999999999997</v>
      </c>
      <c r="G221">
        <v>6.95</v>
      </c>
      <c r="I221">
        <v>37.020000000000003</v>
      </c>
      <c r="K221">
        <v>0</v>
      </c>
    </row>
    <row r="222" spans="1:11" x14ac:dyDescent="0.3">
      <c r="A222" s="24">
        <v>0.15354166666666666</v>
      </c>
      <c r="C222">
        <v>300.55</v>
      </c>
      <c r="E222">
        <v>39.020000000000003</v>
      </c>
      <c r="G222">
        <v>6.95</v>
      </c>
      <c r="I222">
        <v>37.020000000000003</v>
      </c>
      <c r="K222">
        <v>0</v>
      </c>
    </row>
    <row r="223" spans="1:11" x14ac:dyDescent="0.3">
      <c r="A223" s="24">
        <v>0.1542361111111111</v>
      </c>
      <c r="C223">
        <v>303.45</v>
      </c>
      <c r="E223">
        <v>39.07</v>
      </c>
      <c r="G223">
        <v>6.95</v>
      </c>
      <c r="I223">
        <v>37.049999999999997</v>
      </c>
      <c r="K223">
        <v>0</v>
      </c>
    </row>
    <row r="224" spans="1:11" x14ac:dyDescent="0.3">
      <c r="A224" s="24">
        <v>0.15493055555555554</v>
      </c>
      <c r="C224">
        <v>305.85000000000002</v>
      </c>
      <c r="E224">
        <v>38.99</v>
      </c>
      <c r="G224">
        <v>6.95</v>
      </c>
      <c r="I224">
        <v>37.04</v>
      </c>
      <c r="K224">
        <v>0</v>
      </c>
    </row>
    <row r="225" spans="1:11" x14ac:dyDescent="0.3">
      <c r="A225" s="24">
        <v>0.15563657407407408</v>
      </c>
      <c r="C225">
        <v>308.57</v>
      </c>
      <c r="E225">
        <v>39.01</v>
      </c>
      <c r="G225">
        <v>6.95</v>
      </c>
      <c r="I225">
        <v>37.04</v>
      </c>
      <c r="K225">
        <v>14.35</v>
      </c>
    </row>
    <row r="226" spans="1:11" x14ac:dyDescent="0.3">
      <c r="A226" s="24">
        <v>0.15633101851851852</v>
      </c>
      <c r="C226">
        <v>310.76</v>
      </c>
      <c r="E226">
        <v>39.21</v>
      </c>
      <c r="G226">
        <v>6.95</v>
      </c>
      <c r="I226">
        <v>37.020000000000003</v>
      </c>
      <c r="K226">
        <v>0</v>
      </c>
    </row>
    <row r="227" spans="1:11" x14ac:dyDescent="0.3">
      <c r="A227" s="24">
        <v>0.15702546296296296</v>
      </c>
      <c r="C227">
        <v>311.52999999999997</v>
      </c>
      <c r="E227">
        <v>38.729999999999997</v>
      </c>
      <c r="G227">
        <v>6.95</v>
      </c>
      <c r="I227">
        <v>36.99</v>
      </c>
      <c r="K227">
        <v>0</v>
      </c>
    </row>
    <row r="228" spans="1:11" x14ac:dyDescent="0.3">
      <c r="A228" s="24">
        <v>0.15771990740740741</v>
      </c>
      <c r="C228">
        <v>314.33999999999997</v>
      </c>
      <c r="E228">
        <v>39.090000000000003</v>
      </c>
      <c r="G228">
        <v>6.95</v>
      </c>
      <c r="I228">
        <v>37.049999999999997</v>
      </c>
      <c r="K228">
        <v>0</v>
      </c>
    </row>
    <row r="229" spans="1:11" x14ac:dyDescent="0.3">
      <c r="A229" s="24">
        <v>0.15841435185185185</v>
      </c>
      <c r="C229">
        <v>317.44</v>
      </c>
      <c r="E229">
        <v>39.03</v>
      </c>
      <c r="G229">
        <v>6.95</v>
      </c>
      <c r="I229">
        <v>36.979999999999997</v>
      </c>
      <c r="K229">
        <v>0</v>
      </c>
    </row>
    <row r="230" spans="1:11" x14ac:dyDescent="0.3">
      <c r="A230" s="24">
        <v>0.15910879629629629</v>
      </c>
      <c r="C230">
        <v>319.58999999999997</v>
      </c>
      <c r="E230">
        <v>39.1</v>
      </c>
      <c r="G230">
        <v>6.96</v>
      </c>
      <c r="I230">
        <v>37.03</v>
      </c>
      <c r="K230">
        <v>0</v>
      </c>
    </row>
    <row r="231" spans="1:11" x14ac:dyDescent="0.3">
      <c r="A231" s="24">
        <v>0.15980324074074073</v>
      </c>
      <c r="C231">
        <v>322.29000000000002</v>
      </c>
      <c r="E231">
        <v>38.729999999999997</v>
      </c>
      <c r="G231">
        <v>6.95</v>
      </c>
      <c r="I231">
        <v>37.06</v>
      </c>
      <c r="K231">
        <v>0</v>
      </c>
    </row>
    <row r="232" spans="1:11" x14ac:dyDescent="0.3">
      <c r="A232" s="24">
        <v>0.16049768518518517</v>
      </c>
      <c r="C232">
        <v>323.83</v>
      </c>
      <c r="E232">
        <v>38.94</v>
      </c>
      <c r="G232">
        <v>6.95</v>
      </c>
      <c r="I232">
        <v>37.04</v>
      </c>
      <c r="K232">
        <v>0</v>
      </c>
    </row>
    <row r="233" spans="1:11" x14ac:dyDescent="0.3">
      <c r="A233" s="24">
        <v>0.16119212962962962</v>
      </c>
      <c r="C233">
        <v>326.11</v>
      </c>
      <c r="E233">
        <v>38.71</v>
      </c>
      <c r="G233">
        <v>6.95</v>
      </c>
      <c r="I233">
        <v>37.03</v>
      </c>
      <c r="K233">
        <v>0</v>
      </c>
    </row>
    <row r="234" spans="1:11" x14ac:dyDescent="0.3">
      <c r="A234" s="24">
        <v>0.16189814814814815</v>
      </c>
      <c r="C234">
        <v>327.35000000000002</v>
      </c>
      <c r="E234">
        <v>39.25</v>
      </c>
      <c r="G234">
        <v>6.96</v>
      </c>
      <c r="I234">
        <v>36.99</v>
      </c>
      <c r="K234">
        <v>0</v>
      </c>
    </row>
    <row r="235" spans="1:11" x14ac:dyDescent="0.3">
      <c r="A235" s="24">
        <v>0.16256944444444446</v>
      </c>
      <c r="C235">
        <v>328.77</v>
      </c>
      <c r="E235">
        <v>38.81</v>
      </c>
      <c r="G235">
        <v>6.95</v>
      </c>
      <c r="I235">
        <v>36.99</v>
      </c>
      <c r="K235">
        <v>0</v>
      </c>
    </row>
    <row r="236" spans="1:11" x14ac:dyDescent="0.3">
      <c r="A236" s="24">
        <v>0.1632638888888889</v>
      </c>
      <c r="C236">
        <v>331.34</v>
      </c>
      <c r="E236">
        <v>39.11</v>
      </c>
      <c r="G236">
        <v>6.95</v>
      </c>
      <c r="I236">
        <v>36.97</v>
      </c>
      <c r="K236">
        <v>0</v>
      </c>
    </row>
    <row r="237" spans="1:11" x14ac:dyDescent="0.3">
      <c r="A237" s="24">
        <v>0.16395833333333334</v>
      </c>
      <c r="C237">
        <v>331.35</v>
      </c>
      <c r="E237">
        <v>38.909999999999997</v>
      </c>
      <c r="G237">
        <v>6.95</v>
      </c>
      <c r="I237">
        <v>36.93</v>
      </c>
      <c r="K237">
        <v>0</v>
      </c>
    </row>
    <row r="238" spans="1:11" x14ac:dyDescent="0.3">
      <c r="A238" s="24">
        <v>0.16465277777777779</v>
      </c>
      <c r="C238">
        <v>333.7</v>
      </c>
      <c r="E238">
        <v>38.950000000000003</v>
      </c>
      <c r="G238">
        <v>6.95</v>
      </c>
      <c r="I238">
        <v>37</v>
      </c>
      <c r="K238">
        <v>0</v>
      </c>
    </row>
    <row r="239" spans="1:11" x14ac:dyDescent="0.3">
      <c r="A239" s="24">
        <v>0.16534722222222223</v>
      </c>
      <c r="C239">
        <v>336.17</v>
      </c>
      <c r="E239">
        <v>38.76</v>
      </c>
      <c r="G239">
        <v>6.96</v>
      </c>
      <c r="I239">
        <v>37</v>
      </c>
      <c r="K239">
        <v>0</v>
      </c>
    </row>
    <row r="240" spans="1:11" x14ac:dyDescent="0.3">
      <c r="A240" s="24">
        <v>0.16604166666666667</v>
      </c>
      <c r="C240">
        <v>337.17</v>
      </c>
      <c r="E240">
        <v>38.729999999999997</v>
      </c>
      <c r="G240">
        <v>6.95</v>
      </c>
      <c r="I240">
        <v>36.950000000000003</v>
      </c>
      <c r="K240">
        <v>0</v>
      </c>
    </row>
    <row r="241" spans="1:11" x14ac:dyDescent="0.3">
      <c r="A241" s="24">
        <v>0.16673611111111111</v>
      </c>
      <c r="C241">
        <v>341.5</v>
      </c>
      <c r="E241">
        <v>39.14</v>
      </c>
      <c r="G241">
        <v>6.95</v>
      </c>
      <c r="I241">
        <v>37.03</v>
      </c>
      <c r="K241">
        <v>14.35</v>
      </c>
    </row>
    <row r="242" spans="1:11" x14ac:dyDescent="0.3">
      <c r="A242" s="24">
        <v>0.16744212962962965</v>
      </c>
      <c r="C242">
        <v>341.83</v>
      </c>
      <c r="E242">
        <v>38.92</v>
      </c>
      <c r="G242">
        <v>6.95</v>
      </c>
      <c r="I242">
        <v>37.04</v>
      </c>
      <c r="K242">
        <v>0</v>
      </c>
    </row>
    <row r="243" spans="1:11" x14ac:dyDescent="0.3">
      <c r="A243" s="24">
        <v>0.16813657407407409</v>
      </c>
      <c r="C243">
        <v>342.86</v>
      </c>
      <c r="E243">
        <v>38.92</v>
      </c>
      <c r="G243">
        <v>6.95</v>
      </c>
      <c r="I243">
        <v>37.04</v>
      </c>
      <c r="K243">
        <v>0</v>
      </c>
    </row>
    <row r="244" spans="1:11" x14ac:dyDescent="0.3">
      <c r="A244" s="24">
        <v>0.16883101851851853</v>
      </c>
      <c r="C244">
        <v>346.02</v>
      </c>
      <c r="E244">
        <v>38.93</v>
      </c>
      <c r="G244">
        <v>6.95</v>
      </c>
      <c r="I244">
        <v>36.99</v>
      </c>
      <c r="K244">
        <v>0</v>
      </c>
    </row>
    <row r="245" spans="1:11" x14ac:dyDescent="0.3">
      <c r="A245" s="24">
        <v>0.16952546296296298</v>
      </c>
      <c r="C245">
        <v>346.82</v>
      </c>
      <c r="E245">
        <v>39.53</v>
      </c>
      <c r="G245">
        <v>6.96</v>
      </c>
      <c r="I245">
        <v>37</v>
      </c>
      <c r="K245">
        <v>0</v>
      </c>
    </row>
    <row r="246" spans="1:11" x14ac:dyDescent="0.3">
      <c r="A246" s="24">
        <v>0.17021990740740742</v>
      </c>
      <c r="C246">
        <v>348.26</v>
      </c>
      <c r="E246">
        <v>38.729999999999997</v>
      </c>
      <c r="G246">
        <v>6.95</v>
      </c>
      <c r="I246">
        <v>37.07</v>
      </c>
      <c r="K246">
        <v>0</v>
      </c>
    </row>
    <row r="247" spans="1:11" x14ac:dyDescent="0.3">
      <c r="A247" s="24">
        <v>0.17091435185185186</v>
      </c>
      <c r="C247">
        <v>349.83</v>
      </c>
      <c r="E247">
        <v>38.6</v>
      </c>
      <c r="G247">
        <v>6.95</v>
      </c>
      <c r="I247">
        <v>37.1</v>
      </c>
      <c r="K247">
        <v>0</v>
      </c>
    </row>
    <row r="248" spans="1:11" x14ac:dyDescent="0.3">
      <c r="A248" s="24">
        <v>0.1716087962962963</v>
      </c>
      <c r="C248">
        <v>352.07</v>
      </c>
      <c r="E248">
        <v>38.369999999999997</v>
      </c>
      <c r="G248">
        <v>6.95</v>
      </c>
      <c r="I248">
        <v>37</v>
      </c>
      <c r="K248">
        <v>0</v>
      </c>
    </row>
    <row r="249" spans="1:11" x14ac:dyDescent="0.3">
      <c r="A249" s="24">
        <v>0.17230324074074074</v>
      </c>
      <c r="C249">
        <v>352.72</v>
      </c>
      <c r="E249">
        <v>39.119999999999997</v>
      </c>
      <c r="G249">
        <v>6.95</v>
      </c>
      <c r="I249">
        <v>37.06</v>
      </c>
      <c r="K249">
        <v>0</v>
      </c>
    </row>
    <row r="250" spans="1:11" x14ac:dyDescent="0.3">
      <c r="A250" s="24">
        <v>0.17299768518518518</v>
      </c>
      <c r="C250">
        <v>355.5</v>
      </c>
      <c r="E250">
        <v>38.64</v>
      </c>
      <c r="G250">
        <v>6.95</v>
      </c>
      <c r="I250">
        <v>37.15</v>
      </c>
      <c r="K250">
        <v>0</v>
      </c>
    </row>
    <row r="251" spans="1:11" x14ac:dyDescent="0.3">
      <c r="A251" s="24">
        <v>0.17370370370370369</v>
      </c>
      <c r="C251">
        <v>357.16</v>
      </c>
      <c r="E251">
        <v>39.369999999999997</v>
      </c>
      <c r="G251">
        <v>6.95</v>
      </c>
      <c r="I251">
        <v>37.04</v>
      </c>
      <c r="K251">
        <v>0</v>
      </c>
    </row>
    <row r="252" spans="1:11" x14ac:dyDescent="0.3">
      <c r="A252" s="24">
        <v>0.17437499999999997</v>
      </c>
      <c r="C252">
        <v>354.98</v>
      </c>
      <c r="E252">
        <v>40.049999999999997</v>
      </c>
      <c r="G252">
        <v>6.95</v>
      </c>
      <c r="I252">
        <v>37.08</v>
      </c>
      <c r="K252">
        <v>0</v>
      </c>
    </row>
    <row r="253" spans="1:11" x14ac:dyDescent="0.3">
      <c r="A253" s="24">
        <v>0.17506944444444442</v>
      </c>
      <c r="C253">
        <v>355.15</v>
      </c>
      <c r="E253">
        <v>39.11</v>
      </c>
      <c r="G253">
        <v>6.96</v>
      </c>
      <c r="I253">
        <v>37.04</v>
      </c>
      <c r="K253">
        <v>0</v>
      </c>
    </row>
    <row r="254" spans="1:11" x14ac:dyDescent="0.3">
      <c r="A254" s="24">
        <v>0.17576388888888891</v>
      </c>
      <c r="C254">
        <v>358.93</v>
      </c>
      <c r="E254">
        <v>38.82</v>
      </c>
      <c r="G254">
        <v>6.95</v>
      </c>
      <c r="I254">
        <v>37.07</v>
      </c>
      <c r="K254">
        <v>0</v>
      </c>
    </row>
    <row r="255" spans="1:11" x14ac:dyDescent="0.3">
      <c r="A255" s="24">
        <v>0.17645833333333336</v>
      </c>
      <c r="C255">
        <v>361.58</v>
      </c>
      <c r="E255">
        <v>38.270000000000003</v>
      </c>
      <c r="G255">
        <v>6.95</v>
      </c>
      <c r="I255">
        <v>37.020000000000003</v>
      </c>
      <c r="K255">
        <v>0</v>
      </c>
    </row>
    <row r="256" spans="1:11" x14ac:dyDescent="0.3">
      <c r="A256" s="24">
        <v>0.1771527777777778</v>
      </c>
      <c r="C256">
        <v>363.36</v>
      </c>
      <c r="E256">
        <v>38.67</v>
      </c>
      <c r="G256">
        <v>6.96</v>
      </c>
      <c r="I256">
        <v>37.08</v>
      </c>
      <c r="K256">
        <v>0</v>
      </c>
    </row>
    <row r="257" spans="1:11" x14ac:dyDescent="0.3">
      <c r="A257" s="24">
        <v>0.17784722222222224</v>
      </c>
      <c r="C257">
        <v>364.37</v>
      </c>
      <c r="E257">
        <v>38.840000000000003</v>
      </c>
      <c r="G257">
        <v>6.96</v>
      </c>
      <c r="I257">
        <v>37.15</v>
      </c>
      <c r="K257">
        <v>0</v>
      </c>
    </row>
    <row r="258" spans="1:11" x14ac:dyDescent="0.3">
      <c r="A258" s="24">
        <v>0.17854166666666668</v>
      </c>
      <c r="C258">
        <v>366.83</v>
      </c>
      <c r="E258">
        <v>38.75</v>
      </c>
      <c r="G258">
        <v>6.95</v>
      </c>
      <c r="I258">
        <v>37.04</v>
      </c>
      <c r="K258">
        <v>0</v>
      </c>
    </row>
    <row r="259" spans="1:11" x14ac:dyDescent="0.3">
      <c r="A259" s="24">
        <v>0.17923611111111112</v>
      </c>
      <c r="C259">
        <v>368.57</v>
      </c>
      <c r="E259">
        <v>38.729999999999997</v>
      </c>
      <c r="G259">
        <v>6.95</v>
      </c>
      <c r="I259">
        <v>37.07</v>
      </c>
      <c r="K259">
        <v>0</v>
      </c>
    </row>
    <row r="260" spans="1:11" x14ac:dyDescent="0.3">
      <c r="A260" s="24">
        <v>0.17994212962962963</v>
      </c>
      <c r="C260">
        <v>371.92</v>
      </c>
      <c r="E260">
        <v>38.33</v>
      </c>
      <c r="G260">
        <v>6.95</v>
      </c>
      <c r="I260">
        <v>37</v>
      </c>
      <c r="K260">
        <v>0</v>
      </c>
    </row>
    <row r="261" spans="1:11" x14ac:dyDescent="0.3">
      <c r="A261" s="24">
        <v>0.18063657407407407</v>
      </c>
      <c r="C261">
        <v>372.67</v>
      </c>
      <c r="E261">
        <v>38.65</v>
      </c>
      <c r="G261">
        <v>6.95</v>
      </c>
      <c r="I261">
        <v>37.06</v>
      </c>
      <c r="K261">
        <v>0</v>
      </c>
    </row>
    <row r="262" spans="1:11" x14ac:dyDescent="0.3">
      <c r="A262" s="24">
        <v>0.18133101851851852</v>
      </c>
      <c r="C262">
        <v>374.54</v>
      </c>
      <c r="E262">
        <v>38.47</v>
      </c>
      <c r="G262">
        <v>6.95</v>
      </c>
      <c r="I262">
        <v>37.07</v>
      </c>
      <c r="K262">
        <v>0</v>
      </c>
    </row>
    <row r="263" spans="1:11" x14ac:dyDescent="0.3">
      <c r="A263" s="24">
        <v>0.18202546296296296</v>
      </c>
      <c r="C263">
        <v>377.77</v>
      </c>
      <c r="E263">
        <v>38.85</v>
      </c>
      <c r="G263">
        <v>6.95</v>
      </c>
      <c r="I263">
        <v>37.020000000000003</v>
      </c>
      <c r="K263">
        <v>0</v>
      </c>
    </row>
    <row r="264" spans="1:11" x14ac:dyDescent="0.3">
      <c r="A264" s="24">
        <v>0.1827199074074074</v>
      </c>
      <c r="C264">
        <v>378.02</v>
      </c>
      <c r="E264">
        <v>39.049999999999997</v>
      </c>
      <c r="G264">
        <v>6.95</v>
      </c>
      <c r="I264">
        <v>37.06</v>
      </c>
      <c r="K264">
        <v>0</v>
      </c>
    </row>
    <row r="265" spans="1:11" x14ac:dyDescent="0.3">
      <c r="A265" s="24">
        <v>0.18341435185185184</v>
      </c>
      <c r="C265">
        <v>379.94</v>
      </c>
      <c r="E265">
        <v>38.53</v>
      </c>
      <c r="G265">
        <v>6.95</v>
      </c>
      <c r="I265">
        <v>36.950000000000003</v>
      </c>
      <c r="K265">
        <v>0</v>
      </c>
    </row>
    <row r="266" spans="1:11" x14ac:dyDescent="0.3">
      <c r="A266" s="24">
        <v>0.18410879629629628</v>
      </c>
      <c r="C266">
        <v>381.97</v>
      </c>
      <c r="E266">
        <v>38.18</v>
      </c>
      <c r="G266">
        <v>6.96</v>
      </c>
      <c r="I266">
        <v>36.97</v>
      </c>
      <c r="K266">
        <v>0</v>
      </c>
    </row>
    <row r="267" spans="1:11" x14ac:dyDescent="0.3">
      <c r="A267" s="24">
        <v>0.18480324074074073</v>
      </c>
      <c r="C267">
        <v>386.28</v>
      </c>
      <c r="E267">
        <v>38.15</v>
      </c>
      <c r="G267">
        <v>6.95</v>
      </c>
      <c r="I267">
        <v>36.99</v>
      </c>
      <c r="K267">
        <v>0</v>
      </c>
    </row>
    <row r="268" spans="1:11" x14ac:dyDescent="0.3">
      <c r="A268" s="24">
        <v>0.18550925925925923</v>
      </c>
      <c r="C268">
        <v>386.43</v>
      </c>
      <c r="E268">
        <v>38.549999999999997</v>
      </c>
      <c r="G268">
        <v>6.95</v>
      </c>
      <c r="I268">
        <v>37</v>
      </c>
      <c r="K268">
        <v>14.45</v>
      </c>
    </row>
    <row r="269" spans="1:11" x14ac:dyDescent="0.3">
      <c r="A269" s="24">
        <v>0.18620370370370368</v>
      </c>
      <c r="C269">
        <v>387.96</v>
      </c>
      <c r="E269">
        <v>38.119999999999997</v>
      </c>
      <c r="G269">
        <v>6.95</v>
      </c>
      <c r="I269">
        <v>36.99</v>
      </c>
      <c r="K269">
        <v>14.55</v>
      </c>
    </row>
    <row r="270" spans="1:11" x14ac:dyDescent="0.3">
      <c r="A270" s="24">
        <v>0.18687500000000001</v>
      </c>
      <c r="C270">
        <v>389.59</v>
      </c>
      <c r="E270">
        <v>38.840000000000003</v>
      </c>
      <c r="G270">
        <v>6.96</v>
      </c>
      <c r="I270">
        <v>36.99</v>
      </c>
      <c r="K270">
        <v>0</v>
      </c>
    </row>
    <row r="271" spans="1:11" x14ac:dyDescent="0.3">
      <c r="A271" s="24">
        <v>0.18756944444444446</v>
      </c>
      <c r="C271">
        <v>392.03</v>
      </c>
      <c r="E271">
        <v>38.630000000000003</v>
      </c>
      <c r="G271">
        <v>6.95</v>
      </c>
      <c r="I271">
        <v>36.99</v>
      </c>
      <c r="K271">
        <v>0</v>
      </c>
    </row>
    <row r="272" spans="1:11" x14ac:dyDescent="0.3">
      <c r="A272" s="24">
        <v>0.1882638888888889</v>
      </c>
      <c r="C272">
        <v>395.86</v>
      </c>
      <c r="E272">
        <v>38.9</v>
      </c>
      <c r="G272">
        <v>6.95</v>
      </c>
      <c r="I272">
        <v>37.07</v>
      </c>
      <c r="K272">
        <v>0</v>
      </c>
    </row>
    <row r="273" spans="1:11" x14ac:dyDescent="0.3">
      <c r="A273" s="24">
        <v>0.18895833333333334</v>
      </c>
      <c r="C273">
        <v>395.51</v>
      </c>
      <c r="E273">
        <v>38.58</v>
      </c>
      <c r="G273">
        <v>6.95</v>
      </c>
      <c r="I273">
        <v>37</v>
      </c>
      <c r="K273">
        <v>0</v>
      </c>
    </row>
    <row r="274" spans="1:11" x14ac:dyDescent="0.3">
      <c r="A274" s="24">
        <v>0.18965277777777778</v>
      </c>
      <c r="C274">
        <v>396.28</v>
      </c>
      <c r="E274">
        <v>38.33</v>
      </c>
      <c r="G274">
        <v>6.95</v>
      </c>
      <c r="I274">
        <v>36.99</v>
      </c>
      <c r="K274">
        <v>0</v>
      </c>
    </row>
    <row r="275" spans="1:11" x14ac:dyDescent="0.3">
      <c r="A275" s="24">
        <v>0.19034722222222222</v>
      </c>
      <c r="C275">
        <v>398.95</v>
      </c>
      <c r="E275">
        <v>39.04</v>
      </c>
      <c r="G275">
        <v>6.95</v>
      </c>
      <c r="I275">
        <v>37</v>
      </c>
      <c r="K275">
        <v>0</v>
      </c>
    </row>
    <row r="276" spans="1:11" x14ac:dyDescent="0.3">
      <c r="A276" s="24">
        <v>0.19104166666666667</v>
      </c>
      <c r="C276">
        <v>401.13</v>
      </c>
      <c r="E276">
        <v>38.520000000000003</v>
      </c>
      <c r="G276">
        <v>6.95</v>
      </c>
      <c r="I276">
        <v>37</v>
      </c>
      <c r="K276">
        <v>0</v>
      </c>
    </row>
    <row r="277" spans="1:11" x14ac:dyDescent="0.3">
      <c r="A277" s="24">
        <v>0.19174768518518517</v>
      </c>
      <c r="C277">
        <v>401.15</v>
      </c>
      <c r="E277">
        <v>38.21</v>
      </c>
      <c r="G277">
        <v>6.95</v>
      </c>
      <c r="I277">
        <v>37.049999999999997</v>
      </c>
      <c r="K277">
        <v>0</v>
      </c>
    </row>
    <row r="278" spans="1:11" x14ac:dyDescent="0.3">
      <c r="A278" s="24">
        <v>0.19244212962962962</v>
      </c>
      <c r="C278">
        <v>404.19</v>
      </c>
      <c r="E278">
        <v>37.81</v>
      </c>
      <c r="G278">
        <v>6.95</v>
      </c>
      <c r="I278">
        <v>37.049999999999997</v>
      </c>
      <c r="K278">
        <v>0</v>
      </c>
    </row>
    <row r="279" spans="1:11" x14ac:dyDescent="0.3">
      <c r="A279" s="24">
        <v>0.19313657407407406</v>
      </c>
      <c r="C279">
        <v>406.28</v>
      </c>
      <c r="E279">
        <v>39.409999999999997</v>
      </c>
      <c r="G279">
        <v>6.95</v>
      </c>
      <c r="I279">
        <v>37</v>
      </c>
      <c r="K279">
        <v>14.64</v>
      </c>
    </row>
    <row r="280" spans="1:11" x14ac:dyDescent="0.3">
      <c r="A280" s="24">
        <v>0.1938310185185185</v>
      </c>
      <c r="C280">
        <v>408.62</v>
      </c>
      <c r="E280">
        <v>37.880000000000003</v>
      </c>
      <c r="G280">
        <v>6.95</v>
      </c>
      <c r="I280">
        <v>37.049999999999997</v>
      </c>
      <c r="K280">
        <v>0</v>
      </c>
    </row>
    <row r="281" spans="1:11" x14ac:dyDescent="0.3">
      <c r="A281" s="24">
        <v>0.19452546296296294</v>
      </c>
      <c r="C281">
        <v>414.19</v>
      </c>
      <c r="E281">
        <v>39.090000000000003</v>
      </c>
      <c r="G281">
        <v>6.95</v>
      </c>
      <c r="I281">
        <v>37.020000000000003</v>
      </c>
      <c r="K281">
        <v>0</v>
      </c>
    </row>
    <row r="282" spans="1:11" x14ac:dyDescent="0.3">
      <c r="A282" s="24">
        <v>0.19521990740740738</v>
      </c>
      <c r="C282">
        <v>411.02</v>
      </c>
      <c r="E282">
        <v>38.47</v>
      </c>
      <c r="G282">
        <v>6.95</v>
      </c>
      <c r="I282">
        <v>37.01</v>
      </c>
      <c r="K282">
        <v>14.55</v>
      </c>
    </row>
    <row r="283" spans="1:11" x14ac:dyDescent="0.3">
      <c r="A283" s="24">
        <v>0.19591435185185188</v>
      </c>
      <c r="C283">
        <v>414.5</v>
      </c>
      <c r="E283">
        <v>37.74</v>
      </c>
      <c r="G283">
        <v>6.95</v>
      </c>
      <c r="I283">
        <v>37.04</v>
      </c>
      <c r="K283">
        <v>0</v>
      </c>
    </row>
    <row r="284" spans="1:11" x14ac:dyDescent="0.3">
      <c r="A284" s="24">
        <v>0.19660879629629627</v>
      </c>
      <c r="C284">
        <v>415.46</v>
      </c>
      <c r="E284">
        <v>37.39</v>
      </c>
      <c r="G284">
        <v>6.95</v>
      </c>
      <c r="I284">
        <v>37.04</v>
      </c>
      <c r="K284">
        <v>14.45</v>
      </c>
    </row>
    <row r="285" spans="1:11" x14ac:dyDescent="0.3">
      <c r="A285" s="24">
        <v>0.19730324074074077</v>
      </c>
      <c r="C285">
        <v>417.18</v>
      </c>
      <c r="E285">
        <v>38.369999999999997</v>
      </c>
      <c r="G285">
        <v>6.95</v>
      </c>
      <c r="I285">
        <v>37.049999999999997</v>
      </c>
      <c r="K285">
        <v>14.45</v>
      </c>
    </row>
    <row r="286" spans="1:11" x14ac:dyDescent="0.3">
      <c r="A286" s="24">
        <v>0.19800925925925927</v>
      </c>
      <c r="C286">
        <v>421.18</v>
      </c>
      <c r="E286">
        <v>38.020000000000003</v>
      </c>
      <c r="G286">
        <v>6.95</v>
      </c>
      <c r="I286">
        <v>37</v>
      </c>
      <c r="K286">
        <v>0</v>
      </c>
    </row>
    <row r="287" spans="1:11" x14ac:dyDescent="0.3">
      <c r="A287" s="24">
        <v>0.19868055555555555</v>
      </c>
      <c r="C287">
        <v>419.67</v>
      </c>
      <c r="E287">
        <v>37.51</v>
      </c>
      <c r="G287">
        <v>6.95</v>
      </c>
      <c r="I287">
        <v>37.08</v>
      </c>
      <c r="K287">
        <v>14.55</v>
      </c>
    </row>
    <row r="288" spans="1:11" x14ac:dyDescent="0.3">
      <c r="A288" s="24">
        <v>0.199375</v>
      </c>
      <c r="C288">
        <v>433.8</v>
      </c>
      <c r="E288">
        <v>38.33</v>
      </c>
      <c r="G288">
        <v>6.95</v>
      </c>
      <c r="I288">
        <v>37.130000000000003</v>
      </c>
      <c r="K288">
        <v>14.35</v>
      </c>
    </row>
    <row r="289" spans="1:11" x14ac:dyDescent="0.3">
      <c r="A289" s="24">
        <v>0.20006944444444444</v>
      </c>
      <c r="C289">
        <v>421.87</v>
      </c>
      <c r="E289">
        <v>38.51</v>
      </c>
      <c r="G289">
        <v>6.95</v>
      </c>
      <c r="I289">
        <v>37.08</v>
      </c>
      <c r="K289">
        <v>0</v>
      </c>
    </row>
    <row r="290" spans="1:11" x14ac:dyDescent="0.3">
      <c r="A290" s="24">
        <v>0.20076388888888888</v>
      </c>
      <c r="C290">
        <v>425.3</v>
      </c>
      <c r="E290">
        <v>39.42</v>
      </c>
      <c r="G290">
        <v>6.95</v>
      </c>
      <c r="I290">
        <v>37.06</v>
      </c>
      <c r="K290">
        <v>0</v>
      </c>
    </row>
    <row r="291" spans="1:11" x14ac:dyDescent="0.3">
      <c r="A291" s="24">
        <v>0.20145833333333332</v>
      </c>
      <c r="C291">
        <v>431.84</v>
      </c>
      <c r="E291">
        <v>37.950000000000003</v>
      </c>
      <c r="G291">
        <v>6.96</v>
      </c>
      <c r="I291">
        <v>37.1</v>
      </c>
      <c r="K291">
        <v>0</v>
      </c>
    </row>
    <row r="292" spans="1:11" x14ac:dyDescent="0.3">
      <c r="A292" s="24">
        <v>0.20215277777777776</v>
      </c>
      <c r="C292">
        <v>434.83</v>
      </c>
      <c r="E292">
        <v>39.6</v>
      </c>
      <c r="G292">
        <v>6.95</v>
      </c>
      <c r="I292">
        <v>37.03</v>
      </c>
      <c r="K292">
        <v>0</v>
      </c>
    </row>
    <row r="293" spans="1:11" x14ac:dyDescent="0.3">
      <c r="A293" s="24">
        <v>0.20284722222222221</v>
      </c>
      <c r="C293">
        <v>431.66</v>
      </c>
      <c r="E293">
        <v>38.909999999999997</v>
      </c>
      <c r="G293">
        <v>6.95</v>
      </c>
      <c r="I293">
        <v>37.020000000000003</v>
      </c>
      <c r="K293">
        <v>0</v>
      </c>
    </row>
    <row r="294" spans="1:11" x14ac:dyDescent="0.3">
      <c r="A294" s="24">
        <v>0.20355324074074074</v>
      </c>
      <c r="C294">
        <v>429.58</v>
      </c>
      <c r="E294">
        <v>39.020000000000003</v>
      </c>
      <c r="G294">
        <v>6.95</v>
      </c>
      <c r="I294">
        <v>37</v>
      </c>
      <c r="K294">
        <v>0</v>
      </c>
    </row>
    <row r="295" spans="1:11" x14ac:dyDescent="0.3">
      <c r="A295" s="24">
        <v>0.20424768518518518</v>
      </c>
      <c r="C295">
        <v>432.54</v>
      </c>
      <c r="E295">
        <v>36.979999999999997</v>
      </c>
      <c r="G295">
        <v>6.95</v>
      </c>
      <c r="I295">
        <v>36.979999999999997</v>
      </c>
      <c r="K295">
        <v>0</v>
      </c>
    </row>
    <row r="296" spans="1:11" x14ac:dyDescent="0.3">
      <c r="A296" s="24">
        <v>0.20494212962962963</v>
      </c>
      <c r="C296">
        <v>434.82</v>
      </c>
      <c r="E296">
        <v>36.94</v>
      </c>
      <c r="G296">
        <v>6.95</v>
      </c>
      <c r="I296">
        <v>36.97</v>
      </c>
      <c r="K296">
        <v>0</v>
      </c>
    </row>
    <row r="297" spans="1:11" x14ac:dyDescent="0.3">
      <c r="A297" s="24">
        <v>0.20563657407407407</v>
      </c>
      <c r="C297">
        <v>438.22</v>
      </c>
      <c r="E297">
        <v>36.79</v>
      </c>
      <c r="G297">
        <v>6.95</v>
      </c>
      <c r="I297">
        <v>36.97</v>
      </c>
      <c r="K297">
        <v>0</v>
      </c>
    </row>
    <row r="298" spans="1:11" x14ac:dyDescent="0.3">
      <c r="A298" s="24">
        <v>0.20633101851851854</v>
      </c>
      <c r="C298">
        <v>443.12</v>
      </c>
      <c r="E298">
        <v>37.31</v>
      </c>
      <c r="G298">
        <v>6.95</v>
      </c>
      <c r="I298">
        <v>37</v>
      </c>
      <c r="K298">
        <v>14.45</v>
      </c>
    </row>
    <row r="299" spans="1:11" x14ac:dyDescent="0.3">
      <c r="A299" s="24">
        <v>0.20702546296296295</v>
      </c>
      <c r="C299">
        <v>443.75</v>
      </c>
      <c r="E299">
        <v>39.31</v>
      </c>
      <c r="G299">
        <v>6.95</v>
      </c>
      <c r="I299">
        <v>36.99</v>
      </c>
      <c r="K299">
        <v>14.55</v>
      </c>
    </row>
    <row r="300" spans="1:11" x14ac:dyDescent="0.3">
      <c r="A300" s="24">
        <v>0.20771990740740742</v>
      </c>
      <c r="C300">
        <v>445.03</v>
      </c>
      <c r="E300">
        <v>39.71</v>
      </c>
      <c r="G300">
        <v>6.95</v>
      </c>
      <c r="I300">
        <v>37.04</v>
      </c>
      <c r="K300">
        <v>0</v>
      </c>
    </row>
    <row r="301" spans="1:11" x14ac:dyDescent="0.3">
      <c r="A301" s="24">
        <v>0.20841435185185186</v>
      </c>
      <c r="C301">
        <v>442.39</v>
      </c>
      <c r="E301">
        <v>38.729999999999997</v>
      </c>
      <c r="G301">
        <v>6.95</v>
      </c>
      <c r="I301">
        <v>37.06</v>
      </c>
      <c r="K301">
        <v>0</v>
      </c>
    </row>
    <row r="302" spans="1:11" x14ac:dyDescent="0.3">
      <c r="A302" s="24">
        <v>0.20910879629629631</v>
      </c>
      <c r="C302">
        <v>437.59</v>
      </c>
      <c r="E302">
        <v>37.979999999999997</v>
      </c>
      <c r="G302">
        <v>6.95</v>
      </c>
      <c r="I302">
        <v>37.07</v>
      </c>
      <c r="K302">
        <v>0</v>
      </c>
    </row>
    <row r="303" spans="1:11" x14ac:dyDescent="0.3">
      <c r="A303" s="24">
        <v>0.20981481481481482</v>
      </c>
      <c r="C303">
        <v>450.65</v>
      </c>
      <c r="E303">
        <v>39.11</v>
      </c>
      <c r="G303">
        <v>6.96</v>
      </c>
      <c r="I303">
        <v>37.04</v>
      </c>
      <c r="K303">
        <v>0</v>
      </c>
    </row>
    <row r="304" spans="1:11" x14ac:dyDescent="0.3">
      <c r="A304" s="24">
        <v>0.21048611111111112</v>
      </c>
      <c r="C304">
        <v>450.61</v>
      </c>
      <c r="E304">
        <v>39.33</v>
      </c>
      <c r="G304">
        <v>6.95</v>
      </c>
      <c r="I304">
        <v>37.049999999999997</v>
      </c>
      <c r="K304">
        <v>0</v>
      </c>
    </row>
    <row r="305" spans="1:11" x14ac:dyDescent="0.3">
      <c r="A305" s="24">
        <v>0.21118055555555557</v>
      </c>
      <c r="C305">
        <v>449.32</v>
      </c>
      <c r="E305">
        <v>40.24</v>
      </c>
      <c r="G305">
        <v>6.95</v>
      </c>
      <c r="I305">
        <v>37.090000000000003</v>
      </c>
      <c r="K305">
        <v>14.35</v>
      </c>
    </row>
    <row r="306" spans="1:11" x14ac:dyDescent="0.3">
      <c r="A306" s="24">
        <v>0.21187500000000001</v>
      </c>
      <c r="C306">
        <v>448.07</v>
      </c>
      <c r="E306">
        <v>39.58</v>
      </c>
      <c r="G306">
        <v>6.95</v>
      </c>
      <c r="I306">
        <v>37.049999999999997</v>
      </c>
      <c r="K306">
        <v>0</v>
      </c>
    </row>
    <row r="307" spans="1:11" x14ac:dyDescent="0.3">
      <c r="A307" s="24">
        <v>0.21256944444444445</v>
      </c>
      <c r="C307">
        <v>449.39</v>
      </c>
      <c r="E307">
        <v>40.5</v>
      </c>
      <c r="G307">
        <v>6.95</v>
      </c>
      <c r="I307">
        <v>37.03</v>
      </c>
      <c r="K307">
        <v>0</v>
      </c>
    </row>
    <row r="308" spans="1:11" x14ac:dyDescent="0.3">
      <c r="A308" s="24">
        <v>0.21326388888888889</v>
      </c>
      <c r="C308">
        <v>448.25</v>
      </c>
      <c r="E308">
        <v>38.39</v>
      </c>
      <c r="G308">
        <v>6.96</v>
      </c>
      <c r="I308">
        <v>37.119999999999997</v>
      </c>
      <c r="K308">
        <v>0</v>
      </c>
    </row>
    <row r="309" spans="1:11" x14ac:dyDescent="0.3">
      <c r="A309" s="24">
        <v>0.21395833333333333</v>
      </c>
      <c r="C309">
        <v>450.02</v>
      </c>
      <c r="E309">
        <v>39.5</v>
      </c>
      <c r="G309">
        <v>6.95</v>
      </c>
      <c r="I309">
        <v>37.07</v>
      </c>
      <c r="K309">
        <v>0</v>
      </c>
    </row>
    <row r="310" spans="1:11" x14ac:dyDescent="0.3">
      <c r="A310" s="24">
        <v>0.21465277777777778</v>
      </c>
      <c r="C310">
        <v>450.84</v>
      </c>
      <c r="E310">
        <v>38.270000000000003</v>
      </c>
      <c r="G310">
        <v>6.95</v>
      </c>
      <c r="I310">
        <v>37.08</v>
      </c>
      <c r="K310">
        <v>0</v>
      </c>
    </row>
    <row r="311" spans="1:11" x14ac:dyDescent="0.3">
      <c r="A311" s="24">
        <v>0.21534722222222222</v>
      </c>
      <c r="C311">
        <v>453.77</v>
      </c>
      <c r="E311">
        <v>38.51</v>
      </c>
      <c r="G311">
        <v>6.95</v>
      </c>
      <c r="I311">
        <v>37.07</v>
      </c>
      <c r="K311">
        <v>14.35</v>
      </c>
    </row>
    <row r="312" spans="1:11" x14ac:dyDescent="0.3">
      <c r="A312" s="24">
        <v>0.21605324074074073</v>
      </c>
      <c r="C312">
        <v>453.21</v>
      </c>
      <c r="E312">
        <v>39.380000000000003</v>
      </c>
      <c r="G312">
        <v>6.95</v>
      </c>
      <c r="I312">
        <v>37.07</v>
      </c>
      <c r="K312">
        <v>0</v>
      </c>
    </row>
    <row r="313" spans="1:11" x14ac:dyDescent="0.3">
      <c r="A313" s="24">
        <v>0.21674768518518517</v>
      </c>
      <c r="C313">
        <v>451.28</v>
      </c>
      <c r="E313">
        <v>39.380000000000003</v>
      </c>
      <c r="G313">
        <v>6.96</v>
      </c>
      <c r="I313">
        <v>37.1</v>
      </c>
      <c r="K313">
        <v>0</v>
      </c>
    </row>
    <row r="314" spans="1:11" x14ac:dyDescent="0.3">
      <c r="A314" s="24">
        <v>0.21744212962962964</v>
      </c>
      <c r="C314">
        <v>454.77</v>
      </c>
      <c r="E314">
        <v>39.47</v>
      </c>
      <c r="G314">
        <v>6.95</v>
      </c>
      <c r="I314">
        <v>37.049999999999997</v>
      </c>
      <c r="K314">
        <v>0</v>
      </c>
    </row>
    <row r="315" spans="1:11" x14ac:dyDescent="0.3">
      <c r="A315" s="24">
        <v>0.21813657407407408</v>
      </c>
      <c r="C315">
        <v>453.74</v>
      </c>
      <c r="E315">
        <v>39.549999999999997</v>
      </c>
      <c r="G315">
        <v>6.96</v>
      </c>
      <c r="I315">
        <v>37.11</v>
      </c>
      <c r="K315">
        <v>0</v>
      </c>
    </row>
    <row r="316" spans="1:11" x14ac:dyDescent="0.3">
      <c r="A316" s="24">
        <v>0.21883101851851852</v>
      </c>
      <c r="C316">
        <v>456.25</v>
      </c>
      <c r="E316">
        <v>38.729999999999997</v>
      </c>
      <c r="G316">
        <v>6.95</v>
      </c>
      <c r="I316">
        <v>37.04</v>
      </c>
      <c r="K316">
        <v>0</v>
      </c>
    </row>
    <row r="317" spans="1:11" x14ac:dyDescent="0.3">
      <c r="A317" s="24">
        <v>0.21952546296296296</v>
      </c>
      <c r="C317">
        <v>454.59</v>
      </c>
      <c r="E317">
        <v>39</v>
      </c>
      <c r="G317">
        <v>6.95</v>
      </c>
      <c r="I317">
        <v>37.049999999999997</v>
      </c>
      <c r="K317">
        <v>0</v>
      </c>
    </row>
    <row r="318" spans="1:11" x14ac:dyDescent="0.3">
      <c r="A318" s="24">
        <v>0.22021990740740741</v>
      </c>
      <c r="C318">
        <v>454.83</v>
      </c>
      <c r="E318">
        <v>39.36</v>
      </c>
      <c r="G318">
        <v>6.95</v>
      </c>
      <c r="I318">
        <v>37.090000000000003</v>
      </c>
      <c r="K318">
        <v>14.55</v>
      </c>
    </row>
    <row r="319" spans="1:11" x14ac:dyDescent="0.3">
      <c r="A319" s="24">
        <v>0.22091435185185185</v>
      </c>
      <c r="C319">
        <v>461.18</v>
      </c>
      <c r="E319">
        <v>39</v>
      </c>
      <c r="G319">
        <v>6.95</v>
      </c>
      <c r="I319">
        <v>37.08</v>
      </c>
      <c r="K319">
        <v>0</v>
      </c>
    </row>
    <row r="320" spans="1:11" x14ac:dyDescent="0.3">
      <c r="A320" s="24">
        <v>0.22162037037037038</v>
      </c>
      <c r="C320">
        <v>454.88</v>
      </c>
      <c r="E320">
        <v>39.380000000000003</v>
      </c>
      <c r="G320">
        <v>6.95</v>
      </c>
      <c r="I320">
        <v>37.04</v>
      </c>
      <c r="K320">
        <v>0</v>
      </c>
    </row>
    <row r="321" spans="1:11" x14ac:dyDescent="0.3">
      <c r="A321" s="24">
        <v>0.22231481481481483</v>
      </c>
      <c r="C321">
        <v>458.91</v>
      </c>
      <c r="E321">
        <v>38.380000000000003</v>
      </c>
      <c r="G321">
        <v>6.95</v>
      </c>
      <c r="I321">
        <v>37.049999999999997</v>
      </c>
      <c r="K321">
        <v>0</v>
      </c>
    </row>
    <row r="322" spans="1:11" x14ac:dyDescent="0.3">
      <c r="A322" s="24">
        <v>0.22298611111111111</v>
      </c>
      <c r="C322">
        <v>459.88</v>
      </c>
      <c r="E322">
        <v>39.6</v>
      </c>
      <c r="G322">
        <v>6.95</v>
      </c>
      <c r="I322">
        <v>37.1</v>
      </c>
      <c r="K322">
        <v>14.35</v>
      </c>
    </row>
    <row r="323" spans="1:11" x14ac:dyDescent="0.3">
      <c r="A323" s="24">
        <v>0.22368055555555555</v>
      </c>
      <c r="C323">
        <v>462.02</v>
      </c>
      <c r="E323">
        <v>38.64</v>
      </c>
      <c r="G323">
        <v>6.96</v>
      </c>
      <c r="I323">
        <v>37.08</v>
      </c>
      <c r="K323">
        <v>0</v>
      </c>
    </row>
    <row r="324" spans="1:11" x14ac:dyDescent="0.3">
      <c r="A324" s="24">
        <v>0.22437499999999999</v>
      </c>
      <c r="C324">
        <v>462.87</v>
      </c>
      <c r="E324">
        <v>39.229999999999997</v>
      </c>
      <c r="G324">
        <v>6.95</v>
      </c>
      <c r="I324">
        <v>37.06</v>
      </c>
      <c r="K324">
        <v>0</v>
      </c>
    </row>
    <row r="325" spans="1:11" x14ac:dyDescent="0.3">
      <c r="A325" s="24">
        <v>0.22506944444444443</v>
      </c>
      <c r="C325">
        <v>465.95</v>
      </c>
      <c r="E325">
        <v>38.49</v>
      </c>
      <c r="G325">
        <v>6.95</v>
      </c>
      <c r="I325">
        <v>37.020000000000003</v>
      </c>
      <c r="K325">
        <v>0</v>
      </c>
    </row>
    <row r="326" spans="1:11" x14ac:dyDescent="0.3">
      <c r="A326" s="24">
        <v>0.22576388888888888</v>
      </c>
      <c r="C326">
        <v>466.78</v>
      </c>
      <c r="E326">
        <v>38.53</v>
      </c>
      <c r="G326">
        <v>6.95</v>
      </c>
      <c r="I326">
        <v>36.99</v>
      </c>
      <c r="K326">
        <v>0</v>
      </c>
    </row>
    <row r="327" spans="1:11" x14ac:dyDescent="0.3">
      <c r="A327" s="24">
        <v>0.22645833333333332</v>
      </c>
      <c r="C327">
        <v>467.02</v>
      </c>
      <c r="E327">
        <v>37.47</v>
      </c>
      <c r="G327">
        <v>6.95</v>
      </c>
      <c r="I327">
        <v>37.04</v>
      </c>
      <c r="K327">
        <v>0</v>
      </c>
    </row>
    <row r="328" spans="1:11" x14ac:dyDescent="0.3">
      <c r="A328" s="24">
        <v>0.22715277777777779</v>
      </c>
      <c r="C328">
        <v>468.99</v>
      </c>
      <c r="E328">
        <v>38.93</v>
      </c>
      <c r="G328">
        <v>6.95</v>
      </c>
      <c r="I328">
        <v>37.04</v>
      </c>
      <c r="K328">
        <v>0</v>
      </c>
    </row>
    <row r="329" spans="1:11" x14ac:dyDescent="0.3">
      <c r="A329" s="24">
        <v>0.22785879629629632</v>
      </c>
      <c r="C329">
        <v>470.15</v>
      </c>
      <c r="E329">
        <v>39.880000000000003</v>
      </c>
      <c r="G329">
        <v>6.95</v>
      </c>
      <c r="I329">
        <v>37.07</v>
      </c>
      <c r="K329">
        <v>0</v>
      </c>
    </row>
    <row r="330" spans="1:11" x14ac:dyDescent="0.3">
      <c r="A330" s="24">
        <v>0.22855324074074077</v>
      </c>
      <c r="C330">
        <v>469.65</v>
      </c>
      <c r="E330">
        <v>38.99</v>
      </c>
      <c r="G330">
        <v>6.95</v>
      </c>
      <c r="I330">
        <v>37.08</v>
      </c>
      <c r="K330">
        <v>0</v>
      </c>
    </row>
    <row r="331" spans="1:11" x14ac:dyDescent="0.3">
      <c r="A331" s="24">
        <v>0.22924768518518521</v>
      </c>
      <c r="C331">
        <v>469.85</v>
      </c>
      <c r="E331">
        <v>40.35</v>
      </c>
      <c r="G331">
        <v>6.95</v>
      </c>
      <c r="I331">
        <v>37.04</v>
      </c>
      <c r="K331">
        <v>14.55</v>
      </c>
    </row>
    <row r="332" spans="1:11" x14ac:dyDescent="0.3">
      <c r="A332" s="24">
        <v>0.22994212962962965</v>
      </c>
      <c r="C332">
        <v>469.75</v>
      </c>
      <c r="E332">
        <v>39.47</v>
      </c>
      <c r="G332">
        <v>6.95</v>
      </c>
      <c r="I332">
        <v>37.06</v>
      </c>
      <c r="K332">
        <v>0</v>
      </c>
    </row>
    <row r="333" spans="1:11" x14ac:dyDescent="0.3">
      <c r="A333" s="24">
        <v>0.23063657407407409</v>
      </c>
      <c r="C333">
        <v>471.84</v>
      </c>
      <c r="E333">
        <v>39.9</v>
      </c>
      <c r="G333">
        <v>6.95</v>
      </c>
      <c r="I333">
        <v>37.090000000000003</v>
      </c>
      <c r="K333">
        <v>14.55</v>
      </c>
    </row>
    <row r="334" spans="1:11" x14ac:dyDescent="0.3">
      <c r="A334" s="24">
        <v>0.23133101851851853</v>
      </c>
      <c r="C334">
        <v>470.74</v>
      </c>
      <c r="E334">
        <v>38.979999999999997</v>
      </c>
      <c r="G334">
        <v>6.96</v>
      </c>
      <c r="I334">
        <v>37.15</v>
      </c>
      <c r="K334">
        <v>0</v>
      </c>
    </row>
    <row r="335" spans="1:11" x14ac:dyDescent="0.3">
      <c r="A335" s="24">
        <v>0.23202546296296298</v>
      </c>
      <c r="C335">
        <v>472.41</v>
      </c>
      <c r="E335">
        <v>39.65</v>
      </c>
      <c r="G335">
        <v>6.95</v>
      </c>
      <c r="I335">
        <v>37.020000000000003</v>
      </c>
      <c r="K335">
        <v>14.64</v>
      </c>
    </row>
    <row r="336" spans="1:11" x14ac:dyDescent="0.3">
      <c r="A336" s="24">
        <v>0.23271990740740742</v>
      </c>
      <c r="C336">
        <v>473.43</v>
      </c>
      <c r="E336">
        <v>38.229999999999997</v>
      </c>
      <c r="G336">
        <v>6.96</v>
      </c>
      <c r="I336">
        <v>37.07</v>
      </c>
      <c r="K336">
        <v>0</v>
      </c>
    </row>
    <row r="337" spans="1:11" x14ac:dyDescent="0.3">
      <c r="A337" s="24">
        <v>0.23341435185185186</v>
      </c>
      <c r="C337">
        <v>474.61</v>
      </c>
      <c r="E337">
        <v>39.83</v>
      </c>
      <c r="G337">
        <v>6.95</v>
      </c>
      <c r="I337">
        <v>37.06</v>
      </c>
      <c r="K337">
        <v>0</v>
      </c>
    </row>
    <row r="338" spans="1:11" x14ac:dyDescent="0.3">
      <c r="A338" s="24">
        <v>0.23412037037037037</v>
      </c>
      <c r="C338">
        <v>474.76</v>
      </c>
      <c r="E338">
        <v>38.92</v>
      </c>
      <c r="G338">
        <v>6.95</v>
      </c>
      <c r="I338">
        <v>37.04</v>
      </c>
      <c r="K338">
        <v>0</v>
      </c>
    </row>
    <row r="339" spans="1:11" x14ac:dyDescent="0.3">
      <c r="A339" s="24">
        <v>0.23479166666666665</v>
      </c>
      <c r="C339">
        <v>476.67</v>
      </c>
      <c r="E339">
        <v>38.46</v>
      </c>
      <c r="G339">
        <v>6.95</v>
      </c>
      <c r="I339">
        <v>37.020000000000003</v>
      </c>
      <c r="K339">
        <v>0</v>
      </c>
    </row>
    <row r="340" spans="1:11" x14ac:dyDescent="0.3">
      <c r="A340" s="24">
        <v>0.23548611111111109</v>
      </c>
      <c r="C340">
        <v>479.06</v>
      </c>
      <c r="E340">
        <v>37.49</v>
      </c>
      <c r="G340">
        <v>6.96</v>
      </c>
      <c r="I340">
        <v>37</v>
      </c>
      <c r="K340">
        <v>0</v>
      </c>
    </row>
    <row r="341" spans="1:11" x14ac:dyDescent="0.3">
      <c r="A341" s="24">
        <v>0.23618055555555553</v>
      </c>
      <c r="C341">
        <v>479.69</v>
      </c>
      <c r="E341">
        <v>37.950000000000003</v>
      </c>
      <c r="G341">
        <v>6.95</v>
      </c>
      <c r="I341">
        <v>37.020000000000003</v>
      </c>
      <c r="K341">
        <v>14.45</v>
      </c>
    </row>
    <row r="342" spans="1:11" x14ac:dyDescent="0.3">
      <c r="A342" s="24">
        <v>0.23687500000000003</v>
      </c>
      <c r="C342">
        <v>484.34</v>
      </c>
      <c r="E342">
        <v>35.25</v>
      </c>
      <c r="G342">
        <v>6.95</v>
      </c>
      <c r="I342">
        <v>37.049999999999997</v>
      </c>
      <c r="K342">
        <v>0</v>
      </c>
    </row>
    <row r="343" spans="1:11" x14ac:dyDescent="0.3">
      <c r="A343" s="24">
        <v>0.23756944444444442</v>
      </c>
      <c r="C343">
        <v>509.75</v>
      </c>
      <c r="E343">
        <v>4.3899999999999997</v>
      </c>
      <c r="G343">
        <v>6.95</v>
      </c>
      <c r="I343">
        <v>37.07</v>
      </c>
      <c r="K343">
        <v>0</v>
      </c>
    </row>
    <row r="344" spans="1:11" x14ac:dyDescent="0.3">
      <c r="A344" s="24">
        <v>0.23826388888888891</v>
      </c>
      <c r="C344">
        <v>541.78</v>
      </c>
      <c r="E344">
        <v>2.69</v>
      </c>
      <c r="G344">
        <v>6.96</v>
      </c>
      <c r="I344">
        <v>37.049999999999997</v>
      </c>
      <c r="K344">
        <v>0</v>
      </c>
    </row>
    <row r="345" spans="1:11" x14ac:dyDescent="0.3">
      <c r="A345" s="24">
        <v>0.23895833333333336</v>
      </c>
      <c r="C345">
        <v>564.97</v>
      </c>
      <c r="E345">
        <v>4.6399999999999997</v>
      </c>
      <c r="G345">
        <v>6.95</v>
      </c>
      <c r="I345">
        <v>37</v>
      </c>
      <c r="K345">
        <v>14.55</v>
      </c>
    </row>
    <row r="346" spans="1:11" x14ac:dyDescent="0.3">
      <c r="A346" s="24">
        <v>0.23966435185185186</v>
      </c>
      <c r="C346">
        <v>583.92999999999995</v>
      </c>
      <c r="E346">
        <v>16.920000000000002</v>
      </c>
      <c r="G346">
        <v>6.95</v>
      </c>
      <c r="I346">
        <v>36.94</v>
      </c>
      <c r="K346">
        <v>0</v>
      </c>
    </row>
    <row r="347" spans="1:11" x14ac:dyDescent="0.3">
      <c r="A347" s="24">
        <v>0.24035879629629631</v>
      </c>
      <c r="C347">
        <v>591.30999999999995</v>
      </c>
      <c r="E347">
        <v>25.42</v>
      </c>
      <c r="G347">
        <v>6.95</v>
      </c>
      <c r="I347">
        <v>37.020000000000003</v>
      </c>
      <c r="K347">
        <v>0</v>
      </c>
    </row>
    <row r="348" spans="1:11" x14ac:dyDescent="0.3">
      <c r="A348" s="24">
        <v>0.24105324074074075</v>
      </c>
      <c r="C348">
        <v>597.49</v>
      </c>
      <c r="E348">
        <v>31.17</v>
      </c>
      <c r="G348">
        <v>6.95</v>
      </c>
      <c r="I348">
        <v>37.04</v>
      </c>
      <c r="K348">
        <v>0</v>
      </c>
    </row>
    <row r="349" spans="1:11" x14ac:dyDescent="0.3">
      <c r="A349" s="24">
        <v>0.24174768518518519</v>
      </c>
      <c r="C349">
        <v>602</v>
      </c>
      <c r="E349">
        <v>30.9</v>
      </c>
      <c r="G349">
        <v>6.95</v>
      </c>
      <c r="I349">
        <v>36.979999999999997</v>
      </c>
      <c r="K349">
        <v>0</v>
      </c>
    </row>
    <row r="350" spans="1:11" x14ac:dyDescent="0.3">
      <c r="A350" s="24">
        <v>0.24244212962962963</v>
      </c>
      <c r="C350">
        <v>606.99</v>
      </c>
      <c r="E350">
        <v>32.799999999999997</v>
      </c>
      <c r="G350">
        <v>6.95</v>
      </c>
      <c r="I350">
        <v>37.01</v>
      </c>
      <c r="K350">
        <v>0</v>
      </c>
    </row>
    <row r="351" spans="1:11" x14ac:dyDescent="0.3">
      <c r="A351" s="24">
        <v>0.24313657407407407</v>
      </c>
      <c r="C351">
        <v>612.1</v>
      </c>
      <c r="E351">
        <v>31.48</v>
      </c>
      <c r="G351">
        <v>6.95</v>
      </c>
      <c r="I351">
        <v>36.97</v>
      </c>
      <c r="K351">
        <v>0</v>
      </c>
    </row>
    <row r="352" spans="1:11" x14ac:dyDescent="0.3">
      <c r="A352" s="24">
        <v>0.24383101851851852</v>
      </c>
      <c r="C352">
        <v>615.77</v>
      </c>
      <c r="E352">
        <v>32.78</v>
      </c>
      <c r="G352">
        <v>6.95</v>
      </c>
      <c r="I352">
        <v>36.99</v>
      </c>
      <c r="K352">
        <v>0</v>
      </c>
    </row>
    <row r="353" spans="1:11" x14ac:dyDescent="0.3">
      <c r="A353" s="24">
        <v>0.24452546296296296</v>
      </c>
      <c r="C353">
        <v>619.74</v>
      </c>
      <c r="E353">
        <v>30.53</v>
      </c>
      <c r="G353">
        <v>6.95</v>
      </c>
      <c r="I353">
        <v>37.07</v>
      </c>
      <c r="K353">
        <v>0</v>
      </c>
    </row>
    <row r="354" spans="1:11" x14ac:dyDescent="0.3">
      <c r="A354" s="24">
        <v>0.2452199074074074</v>
      </c>
      <c r="C354">
        <v>625.59</v>
      </c>
      <c r="E354">
        <v>31</v>
      </c>
      <c r="G354">
        <v>6.95</v>
      </c>
      <c r="I354">
        <v>36.99</v>
      </c>
      <c r="K354">
        <v>0</v>
      </c>
    </row>
    <row r="355" spans="1:11" x14ac:dyDescent="0.3">
      <c r="A355" s="24">
        <v>0.24592592592592591</v>
      </c>
      <c r="C355">
        <v>631.86</v>
      </c>
      <c r="E355">
        <v>30.68</v>
      </c>
      <c r="G355">
        <v>6.95</v>
      </c>
      <c r="I355">
        <v>37.020000000000003</v>
      </c>
      <c r="K355">
        <v>0</v>
      </c>
    </row>
    <row r="356" spans="1:11" x14ac:dyDescent="0.3">
      <c r="A356" s="24">
        <v>0.24659722222222222</v>
      </c>
      <c r="C356">
        <v>635.77</v>
      </c>
      <c r="E356">
        <v>30.93</v>
      </c>
      <c r="G356">
        <v>6.95</v>
      </c>
      <c r="I356">
        <v>36.950000000000003</v>
      </c>
      <c r="K356">
        <v>0</v>
      </c>
    </row>
    <row r="357" spans="1:11" x14ac:dyDescent="0.3">
      <c r="A357" s="24">
        <v>0.24729166666666669</v>
      </c>
      <c r="C357">
        <v>642.29999999999995</v>
      </c>
      <c r="E357">
        <v>30.58</v>
      </c>
      <c r="G357">
        <v>6.95</v>
      </c>
      <c r="I357">
        <v>36.99</v>
      </c>
      <c r="K357">
        <v>14.35</v>
      </c>
    </row>
    <row r="358" spans="1:11" x14ac:dyDescent="0.3">
      <c r="A358" s="24">
        <v>0.2479861111111111</v>
      </c>
      <c r="C358">
        <v>646.52</v>
      </c>
      <c r="E358">
        <v>31.13</v>
      </c>
      <c r="G358">
        <v>6.96</v>
      </c>
      <c r="I358">
        <v>37.049999999999997</v>
      </c>
      <c r="K358">
        <v>0</v>
      </c>
    </row>
    <row r="359" spans="1:11" x14ac:dyDescent="0.3">
      <c r="A359" s="24">
        <v>0.24868055555555557</v>
      </c>
      <c r="C359">
        <v>651.29</v>
      </c>
      <c r="E359">
        <v>32.21</v>
      </c>
      <c r="G359">
        <v>6.95</v>
      </c>
      <c r="I359">
        <v>37.119999999999997</v>
      </c>
      <c r="K359">
        <v>0</v>
      </c>
    </row>
    <row r="360" spans="1:11" x14ac:dyDescent="0.3">
      <c r="A360" s="24">
        <v>0.24937500000000001</v>
      </c>
      <c r="C360">
        <v>655.52</v>
      </c>
      <c r="E360">
        <v>31.93</v>
      </c>
      <c r="G360">
        <v>6.95</v>
      </c>
      <c r="I360">
        <v>37</v>
      </c>
      <c r="K360">
        <v>0</v>
      </c>
    </row>
    <row r="361" spans="1:11" x14ac:dyDescent="0.3">
      <c r="A361" s="24">
        <v>0.25006944444444446</v>
      </c>
      <c r="C361">
        <v>658.89</v>
      </c>
      <c r="E361">
        <v>32.33</v>
      </c>
      <c r="G361">
        <v>6.95</v>
      </c>
      <c r="I361">
        <v>37.11</v>
      </c>
      <c r="K361">
        <v>0</v>
      </c>
    </row>
    <row r="362" spans="1:11" x14ac:dyDescent="0.3">
      <c r="A362" s="24">
        <v>0.2507638888888889</v>
      </c>
      <c r="C362">
        <v>662.4</v>
      </c>
      <c r="E362">
        <v>33.020000000000003</v>
      </c>
      <c r="G362">
        <v>6.95</v>
      </c>
      <c r="I362">
        <v>37.07</v>
      </c>
      <c r="K362">
        <v>0</v>
      </c>
    </row>
    <row r="363" spans="1:11" x14ac:dyDescent="0.3">
      <c r="A363" s="24">
        <v>0.25145833333333334</v>
      </c>
      <c r="C363">
        <v>666.38</v>
      </c>
      <c r="E363">
        <v>34.9</v>
      </c>
      <c r="G363">
        <v>6.95</v>
      </c>
      <c r="I363">
        <v>37.07</v>
      </c>
      <c r="K363">
        <v>0</v>
      </c>
    </row>
    <row r="364" spans="1:11" x14ac:dyDescent="0.3">
      <c r="A364" s="24">
        <v>0.25216435185185188</v>
      </c>
      <c r="C364">
        <v>668.61</v>
      </c>
      <c r="E364">
        <v>33.229999999999997</v>
      </c>
      <c r="G364">
        <v>6.96</v>
      </c>
      <c r="I364">
        <v>37.11</v>
      </c>
      <c r="K364">
        <v>0</v>
      </c>
    </row>
    <row r="365" spans="1:11" x14ac:dyDescent="0.3">
      <c r="A365" s="24">
        <v>0.25285879629629632</v>
      </c>
      <c r="C365">
        <v>672.03</v>
      </c>
      <c r="E365">
        <v>35.1</v>
      </c>
      <c r="G365">
        <v>6.95</v>
      </c>
      <c r="I365">
        <v>37.08</v>
      </c>
      <c r="K365">
        <v>15.13</v>
      </c>
    </row>
    <row r="366" spans="1:11" x14ac:dyDescent="0.3">
      <c r="A366" s="24">
        <v>0.25355324074074076</v>
      </c>
      <c r="C366">
        <v>674.95</v>
      </c>
      <c r="E366">
        <v>34.51</v>
      </c>
      <c r="G366">
        <v>6.95</v>
      </c>
      <c r="I366">
        <v>37.119999999999997</v>
      </c>
      <c r="K366">
        <v>0</v>
      </c>
    </row>
    <row r="367" spans="1:11" x14ac:dyDescent="0.3">
      <c r="A367" s="24">
        <v>0.2542476851851852</v>
      </c>
      <c r="C367">
        <v>676.59</v>
      </c>
      <c r="E367">
        <v>36</v>
      </c>
      <c r="G367">
        <v>6.95</v>
      </c>
      <c r="I367">
        <v>37.159999999999997</v>
      </c>
      <c r="K367">
        <v>0</v>
      </c>
    </row>
    <row r="368" spans="1:11" x14ac:dyDescent="0.3">
      <c r="A368" s="24">
        <v>0.25494212962962964</v>
      </c>
      <c r="C368">
        <v>679.41</v>
      </c>
      <c r="E368">
        <v>34.630000000000003</v>
      </c>
      <c r="G368">
        <v>6.95</v>
      </c>
      <c r="I368">
        <v>37.08</v>
      </c>
      <c r="K368">
        <v>0</v>
      </c>
    </row>
    <row r="369" spans="1:11" x14ac:dyDescent="0.3">
      <c r="A369" s="24">
        <v>0.25563657407407409</v>
      </c>
      <c r="C369">
        <v>681.41</v>
      </c>
      <c r="E369">
        <v>36.229999999999997</v>
      </c>
      <c r="G369">
        <v>6.95</v>
      </c>
      <c r="I369">
        <v>37.1</v>
      </c>
      <c r="K369">
        <v>0</v>
      </c>
    </row>
    <row r="370" spans="1:11" x14ac:dyDescent="0.3">
      <c r="A370" s="24">
        <v>0.25633101851851853</v>
      </c>
      <c r="C370">
        <v>682.93</v>
      </c>
      <c r="E370">
        <v>35.119999999999997</v>
      </c>
      <c r="G370">
        <v>6.95</v>
      </c>
      <c r="I370">
        <v>36.99</v>
      </c>
      <c r="K370">
        <v>15.13</v>
      </c>
    </row>
    <row r="371" spans="1:11" x14ac:dyDescent="0.3">
      <c r="A371" s="24">
        <v>0.25702546296296297</v>
      </c>
      <c r="C371">
        <v>684.69</v>
      </c>
      <c r="E371">
        <v>36.54</v>
      </c>
      <c r="G371">
        <v>6.95</v>
      </c>
      <c r="I371">
        <v>37.119999999999997</v>
      </c>
      <c r="K371">
        <v>0</v>
      </c>
    </row>
    <row r="372" spans="1:11" x14ac:dyDescent="0.3">
      <c r="A372" s="24">
        <v>0.25773148148148145</v>
      </c>
      <c r="C372">
        <v>687.03</v>
      </c>
      <c r="E372">
        <v>35.67</v>
      </c>
      <c r="G372">
        <v>6.95</v>
      </c>
      <c r="I372">
        <v>37.1</v>
      </c>
      <c r="K372">
        <v>0</v>
      </c>
    </row>
    <row r="373" spans="1:11" x14ac:dyDescent="0.3">
      <c r="A373" s="24">
        <v>0.25842592592592589</v>
      </c>
      <c r="C373">
        <v>687.66</v>
      </c>
      <c r="E373">
        <v>36.92</v>
      </c>
      <c r="G373">
        <v>6.95</v>
      </c>
      <c r="I373">
        <v>37.049999999999997</v>
      </c>
      <c r="K373">
        <v>14.74</v>
      </c>
    </row>
    <row r="374" spans="1:11" x14ac:dyDescent="0.3">
      <c r="A374" s="24">
        <v>0.25909722222222226</v>
      </c>
      <c r="C374">
        <v>690.64</v>
      </c>
      <c r="E374">
        <v>36.020000000000003</v>
      </c>
      <c r="G374">
        <v>6.95</v>
      </c>
      <c r="I374">
        <v>37.1</v>
      </c>
      <c r="K374">
        <v>14.64</v>
      </c>
    </row>
    <row r="375" spans="1:11" x14ac:dyDescent="0.3">
      <c r="A375" s="24">
        <v>0.2597916666666667</v>
      </c>
      <c r="C375">
        <v>692.09</v>
      </c>
      <c r="E375">
        <v>36.340000000000003</v>
      </c>
      <c r="G375">
        <v>6.95</v>
      </c>
      <c r="I375">
        <v>37.020000000000003</v>
      </c>
      <c r="K375">
        <v>0</v>
      </c>
    </row>
    <row r="376" spans="1:11" x14ac:dyDescent="0.3">
      <c r="A376" s="24">
        <v>0.26048611111111114</v>
      </c>
      <c r="C376">
        <v>693.37</v>
      </c>
      <c r="E376">
        <v>36.57</v>
      </c>
      <c r="G376">
        <v>6.95</v>
      </c>
      <c r="I376">
        <v>37.1</v>
      </c>
      <c r="K376">
        <v>14.35</v>
      </c>
    </row>
    <row r="377" spans="1:11" x14ac:dyDescent="0.3">
      <c r="A377" s="24">
        <v>0.26118055555555558</v>
      </c>
      <c r="C377">
        <v>694.71</v>
      </c>
      <c r="E377">
        <v>36.479999999999997</v>
      </c>
      <c r="G377">
        <v>6.95</v>
      </c>
      <c r="I377">
        <v>37.020000000000003</v>
      </c>
      <c r="K377">
        <v>14.64</v>
      </c>
    </row>
    <row r="378" spans="1:11" x14ac:dyDescent="0.3">
      <c r="A378" s="24">
        <v>0.26187500000000002</v>
      </c>
      <c r="C378">
        <v>696.4</v>
      </c>
      <c r="E378">
        <v>37.01</v>
      </c>
      <c r="G378">
        <v>6.95</v>
      </c>
      <c r="I378">
        <v>37.04</v>
      </c>
      <c r="K378">
        <v>14.55</v>
      </c>
    </row>
    <row r="379" spans="1:11" x14ac:dyDescent="0.3">
      <c r="A379" s="24">
        <v>0.26256944444444447</v>
      </c>
      <c r="C379">
        <v>697.63</v>
      </c>
      <c r="E379">
        <v>36.28</v>
      </c>
      <c r="G379">
        <v>6.95</v>
      </c>
      <c r="I379">
        <v>37.090000000000003</v>
      </c>
      <c r="K379">
        <v>14.45</v>
      </c>
    </row>
    <row r="380" spans="1:11" x14ac:dyDescent="0.3">
      <c r="A380" s="24">
        <v>0.26326388888888891</v>
      </c>
      <c r="C380">
        <v>700.02</v>
      </c>
      <c r="E380">
        <v>36.83</v>
      </c>
      <c r="G380">
        <v>6.95</v>
      </c>
      <c r="I380">
        <v>37.04</v>
      </c>
      <c r="K380">
        <v>14.74</v>
      </c>
    </row>
    <row r="381" spans="1:11" x14ac:dyDescent="0.3">
      <c r="A381" s="24">
        <v>0.26396990740740739</v>
      </c>
      <c r="C381">
        <v>701.33</v>
      </c>
      <c r="E381">
        <v>36.15</v>
      </c>
      <c r="G381">
        <v>6.95</v>
      </c>
      <c r="I381">
        <v>37.11</v>
      </c>
      <c r="K381">
        <v>14.55</v>
      </c>
    </row>
    <row r="382" spans="1:11" x14ac:dyDescent="0.3">
      <c r="A382" s="24">
        <v>0.26466435185185183</v>
      </c>
      <c r="C382">
        <v>702.67</v>
      </c>
      <c r="E382">
        <v>38.15</v>
      </c>
      <c r="G382">
        <v>6.95</v>
      </c>
      <c r="I382">
        <v>37.1</v>
      </c>
      <c r="K382">
        <v>0</v>
      </c>
    </row>
    <row r="383" spans="1:11" x14ac:dyDescent="0.3">
      <c r="A383" s="24">
        <v>0.26535879629629627</v>
      </c>
      <c r="C383">
        <v>704.59</v>
      </c>
      <c r="E383">
        <v>36.17</v>
      </c>
      <c r="G383">
        <v>6.95</v>
      </c>
      <c r="I383">
        <v>37.07</v>
      </c>
      <c r="K383">
        <v>0</v>
      </c>
    </row>
    <row r="384" spans="1:11" x14ac:dyDescent="0.3">
      <c r="A384" s="24">
        <v>0.26605324074074072</v>
      </c>
      <c r="C384">
        <v>704.75</v>
      </c>
      <c r="E384">
        <v>37.53</v>
      </c>
      <c r="G384">
        <v>6.95</v>
      </c>
      <c r="I384">
        <v>37.03</v>
      </c>
      <c r="K384">
        <v>0</v>
      </c>
    </row>
    <row r="385" spans="1:11" x14ac:dyDescent="0.3">
      <c r="A385" s="24">
        <v>0.26674768518518516</v>
      </c>
      <c r="C385">
        <v>707.65</v>
      </c>
      <c r="E385">
        <v>36.840000000000003</v>
      </c>
      <c r="G385">
        <v>6.95</v>
      </c>
      <c r="I385">
        <v>36.97</v>
      </c>
      <c r="K385">
        <v>0</v>
      </c>
    </row>
    <row r="386" spans="1:11" x14ac:dyDescent="0.3">
      <c r="A386" s="24">
        <v>0.2674421296296296</v>
      </c>
      <c r="C386">
        <v>707.81</v>
      </c>
      <c r="E386">
        <v>38.020000000000003</v>
      </c>
      <c r="G386">
        <v>6.96</v>
      </c>
      <c r="I386">
        <v>37.06</v>
      </c>
      <c r="K386">
        <v>0</v>
      </c>
    </row>
    <row r="387" spans="1:11" x14ac:dyDescent="0.3">
      <c r="A387" s="24">
        <v>0.26813657407407404</v>
      </c>
      <c r="C387">
        <v>709.9</v>
      </c>
      <c r="E387">
        <v>36.79</v>
      </c>
      <c r="G387">
        <v>6.95</v>
      </c>
      <c r="I387">
        <v>37.049999999999997</v>
      </c>
      <c r="K387">
        <v>0</v>
      </c>
    </row>
    <row r="388" spans="1:11" x14ac:dyDescent="0.3">
      <c r="A388" s="24">
        <v>0.26883101851851848</v>
      </c>
      <c r="C388">
        <v>711.13</v>
      </c>
      <c r="E388">
        <v>37.1</v>
      </c>
      <c r="G388">
        <v>6.95</v>
      </c>
      <c r="I388">
        <v>37.08</v>
      </c>
      <c r="K388">
        <v>14.35</v>
      </c>
    </row>
    <row r="389" spans="1:11" x14ac:dyDescent="0.3">
      <c r="A389" s="24">
        <v>0.26952546296296298</v>
      </c>
      <c r="C389">
        <v>711.9</v>
      </c>
      <c r="E389">
        <v>36.86</v>
      </c>
      <c r="G389">
        <v>6.95</v>
      </c>
      <c r="I389">
        <v>37.04</v>
      </c>
      <c r="K389">
        <v>0</v>
      </c>
    </row>
    <row r="390" spans="1:11" x14ac:dyDescent="0.3">
      <c r="A390" s="24">
        <v>0.27023148148148152</v>
      </c>
      <c r="C390">
        <v>714.18</v>
      </c>
      <c r="E390">
        <v>36.729999999999997</v>
      </c>
      <c r="G390">
        <v>6.95</v>
      </c>
      <c r="I390">
        <v>37.11</v>
      </c>
      <c r="K390">
        <v>0</v>
      </c>
    </row>
    <row r="391" spans="1:11" x14ac:dyDescent="0.3">
      <c r="A391" s="24">
        <v>0.27090277777777777</v>
      </c>
      <c r="C391">
        <v>715.5</v>
      </c>
      <c r="E391">
        <v>36.74</v>
      </c>
      <c r="G391">
        <v>6.95</v>
      </c>
      <c r="I391">
        <v>37.07</v>
      </c>
      <c r="K391">
        <v>0</v>
      </c>
    </row>
    <row r="392" spans="1:11" x14ac:dyDescent="0.3">
      <c r="A392" s="24">
        <v>0.27159722222222221</v>
      </c>
      <c r="C392">
        <v>717.87</v>
      </c>
      <c r="E392">
        <v>36</v>
      </c>
      <c r="G392">
        <v>6.95</v>
      </c>
      <c r="I392">
        <v>37.06</v>
      </c>
      <c r="K392">
        <v>0</v>
      </c>
    </row>
    <row r="393" spans="1:11" x14ac:dyDescent="0.3">
      <c r="A393" s="24">
        <v>0.27229166666666665</v>
      </c>
      <c r="C393">
        <v>718.88</v>
      </c>
      <c r="E393">
        <v>36.79</v>
      </c>
      <c r="G393">
        <v>6.95</v>
      </c>
      <c r="I393">
        <v>37.08</v>
      </c>
      <c r="K393">
        <v>0</v>
      </c>
    </row>
    <row r="394" spans="1:11" x14ac:dyDescent="0.3">
      <c r="A394" s="24">
        <v>0.2729861111111111</v>
      </c>
      <c r="C394">
        <v>719.72</v>
      </c>
      <c r="E394">
        <v>35.64</v>
      </c>
      <c r="G394">
        <v>6.95</v>
      </c>
      <c r="I394">
        <v>37.08</v>
      </c>
      <c r="K394">
        <v>0</v>
      </c>
    </row>
    <row r="395" spans="1:11" x14ac:dyDescent="0.3">
      <c r="A395" s="24">
        <v>0.27368055555555554</v>
      </c>
      <c r="C395">
        <v>722.63</v>
      </c>
      <c r="E395">
        <v>37.36</v>
      </c>
      <c r="G395">
        <v>6.95</v>
      </c>
      <c r="I395">
        <v>37.159999999999997</v>
      </c>
      <c r="K395">
        <v>0</v>
      </c>
    </row>
    <row r="396" spans="1:11" x14ac:dyDescent="0.3">
      <c r="A396" s="24">
        <v>0.27437499999999998</v>
      </c>
      <c r="C396">
        <v>723.78</v>
      </c>
      <c r="E396">
        <v>35.520000000000003</v>
      </c>
      <c r="G396">
        <v>6.95</v>
      </c>
      <c r="I396">
        <v>37.130000000000003</v>
      </c>
      <c r="K396">
        <v>14.94</v>
      </c>
    </row>
    <row r="397" spans="1:11" x14ac:dyDescent="0.3">
      <c r="A397" s="24">
        <v>0.27506944444444442</v>
      </c>
      <c r="C397">
        <v>725.63</v>
      </c>
      <c r="E397">
        <v>37.340000000000003</v>
      </c>
      <c r="G397">
        <v>6.95</v>
      </c>
      <c r="I397">
        <v>37.07</v>
      </c>
      <c r="K397">
        <v>0</v>
      </c>
    </row>
    <row r="398" spans="1:11" x14ac:dyDescent="0.3">
      <c r="A398" s="24">
        <v>0.27577546296296296</v>
      </c>
      <c r="C398">
        <v>727.33</v>
      </c>
      <c r="E398">
        <v>34.840000000000003</v>
      </c>
      <c r="G398">
        <v>6.95</v>
      </c>
      <c r="I398">
        <v>37.08</v>
      </c>
      <c r="K398">
        <v>14.55</v>
      </c>
    </row>
    <row r="399" spans="1:11" x14ac:dyDescent="0.3">
      <c r="A399" s="24">
        <v>0.2764699074074074</v>
      </c>
      <c r="C399">
        <v>728.9</v>
      </c>
      <c r="E399">
        <v>36.380000000000003</v>
      </c>
      <c r="G399">
        <v>6.95</v>
      </c>
      <c r="I399">
        <v>37.08</v>
      </c>
      <c r="K399">
        <v>14.64</v>
      </c>
    </row>
    <row r="400" spans="1:11" x14ac:dyDescent="0.3">
      <c r="A400" s="24">
        <v>0.27716435185185184</v>
      </c>
      <c r="C400">
        <v>731.61</v>
      </c>
      <c r="E400">
        <v>34.25</v>
      </c>
      <c r="G400">
        <v>6.95</v>
      </c>
      <c r="I400">
        <v>37.049999999999997</v>
      </c>
      <c r="K400">
        <v>14.55</v>
      </c>
    </row>
    <row r="401" spans="1:11" x14ac:dyDescent="0.3">
      <c r="A401" s="24">
        <v>0.27785879629629628</v>
      </c>
      <c r="C401">
        <v>733.93</v>
      </c>
      <c r="E401">
        <v>35.71</v>
      </c>
      <c r="G401">
        <v>6.95</v>
      </c>
      <c r="I401">
        <v>37.1</v>
      </c>
      <c r="K401">
        <v>0</v>
      </c>
    </row>
    <row r="402" spans="1:11" x14ac:dyDescent="0.3">
      <c r="A402" s="24">
        <v>0.27855324074074073</v>
      </c>
      <c r="C402">
        <v>735.78</v>
      </c>
      <c r="E402">
        <v>34.700000000000003</v>
      </c>
      <c r="G402">
        <v>6.95</v>
      </c>
      <c r="I402">
        <v>37.119999999999997</v>
      </c>
      <c r="K402">
        <v>0</v>
      </c>
    </row>
    <row r="403" spans="1:11" x14ac:dyDescent="0.3">
      <c r="A403" s="24">
        <v>0.27924768518518522</v>
      </c>
      <c r="C403">
        <v>737.13</v>
      </c>
      <c r="E403">
        <v>35.29</v>
      </c>
      <c r="G403">
        <v>6.95</v>
      </c>
      <c r="I403">
        <v>37.11</v>
      </c>
      <c r="K403">
        <v>14.74</v>
      </c>
    </row>
    <row r="404" spans="1:11" x14ac:dyDescent="0.3">
      <c r="A404" s="24">
        <v>0.27994212962962961</v>
      </c>
      <c r="C404">
        <v>739.61</v>
      </c>
      <c r="E404">
        <v>34.69</v>
      </c>
      <c r="G404">
        <v>6.95</v>
      </c>
      <c r="I404">
        <v>37.08</v>
      </c>
      <c r="K404">
        <v>0</v>
      </c>
    </row>
    <row r="405" spans="1:11" x14ac:dyDescent="0.3">
      <c r="A405" s="24">
        <v>0.28063657407407411</v>
      </c>
      <c r="C405">
        <v>741.63</v>
      </c>
      <c r="E405">
        <v>34.380000000000003</v>
      </c>
      <c r="G405">
        <v>6.95</v>
      </c>
      <c r="I405">
        <v>37.1</v>
      </c>
      <c r="K405">
        <v>0</v>
      </c>
    </row>
    <row r="406" spans="1:11" x14ac:dyDescent="0.3">
      <c r="A406" s="24">
        <v>0.28133101851851855</v>
      </c>
      <c r="C406">
        <v>745.12</v>
      </c>
      <c r="E406">
        <v>35.58</v>
      </c>
      <c r="G406">
        <v>6.95</v>
      </c>
      <c r="I406">
        <v>37.07</v>
      </c>
      <c r="K406">
        <v>14.84</v>
      </c>
    </row>
    <row r="407" spans="1:11" x14ac:dyDescent="0.3">
      <c r="A407" s="24">
        <v>0.28203703703703703</v>
      </c>
      <c r="C407">
        <v>745.77</v>
      </c>
      <c r="E407">
        <v>35.61</v>
      </c>
      <c r="G407">
        <v>6.95</v>
      </c>
      <c r="I407">
        <v>37.119999999999997</v>
      </c>
      <c r="K407">
        <v>0</v>
      </c>
    </row>
    <row r="408" spans="1:11" x14ac:dyDescent="0.3">
      <c r="A408" s="24">
        <v>0.28270833333333334</v>
      </c>
      <c r="C408">
        <v>748.81</v>
      </c>
      <c r="E408">
        <v>37.07</v>
      </c>
      <c r="G408">
        <v>6.95</v>
      </c>
      <c r="I408">
        <v>37.119999999999997</v>
      </c>
      <c r="K408">
        <v>14.55</v>
      </c>
    </row>
    <row r="409" spans="1:11" x14ac:dyDescent="0.3">
      <c r="A409" s="24">
        <v>0.28340277777777778</v>
      </c>
      <c r="C409">
        <v>749.94</v>
      </c>
      <c r="E409">
        <v>35.799999999999997</v>
      </c>
      <c r="G409">
        <v>6.95</v>
      </c>
      <c r="I409">
        <v>37.06</v>
      </c>
      <c r="K409">
        <v>0</v>
      </c>
    </row>
    <row r="410" spans="1:11" x14ac:dyDescent="0.3">
      <c r="A410" s="24">
        <v>0.28409722222222222</v>
      </c>
      <c r="C410">
        <v>752.23</v>
      </c>
      <c r="E410">
        <v>38.42</v>
      </c>
      <c r="G410">
        <v>6.95</v>
      </c>
      <c r="I410">
        <v>37.130000000000003</v>
      </c>
      <c r="K410">
        <v>0</v>
      </c>
    </row>
    <row r="411" spans="1:11" x14ac:dyDescent="0.3">
      <c r="A411" s="24">
        <v>0.28479166666666667</v>
      </c>
      <c r="C411">
        <v>751.34</v>
      </c>
      <c r="E411">
        <v>36.549999999999997</v>
      </c>
      <c r="G411">
        <v>6.95</v>
      </c>
      <c r="I411">
        <v>37.020000000000003</v>
      </c>
      <c r="K411">
        <v>0</v>
      </c>
    </row>
    <row r="412" spans="1:11" x14ac:dyDescent="0.3">
      <c r="A412" s="24">
        <v>0.28548611111111111</v>
      </c>
      <c r="C412">
        <v>753.66</v>
      </c>
      <c r="E412">
        <v>38.94</v>
      </c>
      <c r="G412">
        <v>6.95</v>
      </c>
      <c r="I412">
        <v>37.04</v>
      </c>
      <c r="K412">
        <v>0</v>
      </c>
    </row>
    <row r="413" spans="1:11" x14ac:dyDescent="0.3">
      <c r="A413" s="24">
        <v>0.28618055555555555</v>
      </c>
      <c r="C413">
        <v>754.17</v>
      </c>
      <c r="E413">
        <v>37.18</v>
      </c>
      <c r="G413">
        <v>6.95</v>
      </c>
      <c r="I413">
        <v>37</v>
      </c>
      <c r="K413">
        <v>0</v>
      </c>
    </row>
    <row r="414" spans="1:11" x14ac:dyDescent="0.3">
      <c r="A414" s="24">
        <v>0.28687499999999999</v>
      </c>
      <c r="C414">
        <v>754.78</v>
      </c>
      <c r="E414">
        <v>40</v>
      </c>
      <c r="G414">
        <v>6.95</v>
      </c>
      <c r="I414">
        <v>37.119999999999997</v>
      </c>
      <c r="K414">
        <v>14.64</v>
      </c>
    </row>
    <row r="415" spans="1:11" x14ac:dyDescent="0.3">
      <c r="A415" s="24">
        <v>0.28756944444444443</v>
      </c>
      <c r="C415">
        <v>755.64</v>
      </c>
      <c r="E415">
        <v>38.15</v>
      </c>
      <c r="G415">
        <v>6.95</v>
      </c>
      <c r="I415">
        <v>37.08</v>
      </c>
      <c r="K415">
        <v>0</v>
      </c>
    </row>
    <row r="416" spans="1:11" x14ac:dyDescent="0.3">
      <c r="A416" s="24">
        <v>0.28827546296296297</v>
      </c>
      <c r="C416">
        <v>756.51</v>
      </c>
      <c r="E416">
        <v>38.75</v>
      </c>
      <c r="G416">
        <v>6.95</v>
      </c>
      <c r="I416">
        <v>36.950000000000003</v>
      </c>
      <c r="K416">
        <v>0</v>
      </c>
    </row>
    <row r="417" spans="1:11" x14ac:dyDescent="0.3">
      <c r="A417" s="24">
        <v>0.28896990740740741</v>
      </c>
      <c r="C417">
        <v>757.33</v>
      </c>
      <c r="E417">
        <v>37.36</v>
      </c>
      <c r="G417">
        <v>6.95</v>
      </c>
      <c r="I417">
        <v>37.049999999999997</v>
      </c>
      <c r="K417">
        <v>0</v>
      </c>
    </row>
    <row r="418" spans="1:11" x14ac:dyDescent="0.3">
      <c r="A418" s="24">
        <v>0.28966435185185185</v>
      </c>
      <c r="C418">
        <v>757.48</v>
      </c>
      <c r="E418">
        <v>38.54</v>
      </c>
      <c r="G418">
        <v>6.95</v>
      </c>
      <c r="I418">
        <v>37.04</v>
      </c>
      <c r="K418">
        <v>0</v>
      </c>
    </row>
    <row r="419" spans="1:11" x14ac:dyDescent="0.3">
      <c r="A419" s="24">
        <v>0.2903587962962963</v>
      </c>
      <c r="C419">
        <v>757.8</v>
      </c>
      <c r="E419">
        <v>36.86</v>
      </c>
      <c r="G419">
        <v>6.95</v>
      </c>
      <c r="I419">
        <v>37.1</v>
      </c>
      <c r="K419">
        <v>14.84</v>
      </c>
    </row>
    <row r="420" spans="1:11" x14ac:dyDescent="0.3">
      <c r="A420" s="24">
        <v>0.29105324074074074</v>
      </c>
      <c r="C420">
        <v>758.87</v>
      </c>
      <c r="E420">
        <v>38.82</v>
      </c>
      <c r="G420">
        <v>6.95</v>
      </c>
      <c r="I420">
        <v>37.08</v>
      </c>
      <c r="K420">
        <v>0</v>
      </c>
    </row>
    <row r="421" spans="1:11" x14ac:dyDescent="0.3">
      <c r="A421" s="24">
        <v>0.29174768518518518</v>
      </c>
      <c r="C421">
        <v>761.19</v>
      </c>
      <c r="E421">
        <v>37.950000000000003</v>
      </c>
      <c r="G421">
        <v>6.95</v>
      </c>
      <c r="I421">
        <v>37.03</v>
      </c>
      <c r="K421">
        <v>14.94</v>
      </c>
    </row>
    <row r="422" spans="1:11" x14ac:dyDescent="0.3">
      <c r="A422" s="24">
        <v>0.29244212962962962</v>
      </c>
      <c r="C422">
        <v>760.56</v>
      </c>
      <c r="E422">
        <v>37.78</v>
      </c>
      <c r="G422">
        <v>6.95</v>
      </c>
      <c r="I422">
        <v>36.979999999999997</v>
      </c>
      <c r="K422">
        <v>0</v>
      </c>
    </row>
    <row r="423" spans="1:11" x14ac:dyDescent="0.3">
      <c r="A423" s="24">
        <v>0.29313657407407406</v>
      </c>
      <c r="C423">
        <v>760.71</v>
      </c>
      <c r="E423">
        <v>37.54</v>
      </c>
      <c r="G423">
        <v>6.95</v>
      </c>
      <c r="I423">
        <v>37.049999999999997</v>
      </c>
      <c r="K423">
        <v>14.45</v>
      </c>
    </row>
    <row r="424" spans="1:11" x14ac:dyDescent="0.3">
      <c r="A424" s="24">
        <v>0.2938425925925926</v>
      </c>
      <c r="C424">
        <v>762.58</v>
      </c>
      <c r="E424">
        <v>37.409999999999997</v>
      </c>
      <c r="G424">
        <v>6.95</v>
      </c>
      <c r="I424">
        <v>37.11</v>
      </c>
      <c r="K424">
        <v>0</v>
      </c>
    </row>
    <row r="425" spans="1:11" x14ac:dyDescent="0.3">
      <c r="A425" s="24">
        <v>0.29453703703703704</v>
      </c>
      <c r="C425">
        <v>764.39</v>
      </c>
      <c r="E425">
        <v>37.68</v>
      </c>
      <c r="G425">
        <v>6.95</v>
      </c>
      <c r="I425">
        <v>37.11</v>
      </c>
      <c r="K425">
        <v>0</v>
      </c>
    </row>
    <row r="426" spans="1:11" x14ac:dyDescent="0.3">
      <c r="A426" s="24">
        <v>0.29520833333333335</v>
      </c>
      <c r="C426">
        <v>764.63</v>
      </c>
      <c r="E426">
        <v>38.07</v>
      </c>
      <c r="G426">
        <v>6.95</v>
      </c>
      <c r="I426">
        <v>37</v>
      </c>
      <c r="K426">
        <v>0</v>
      </c>
    </row>
    <row r="427" spans="1:11" x14ac:dyDescent="0.3">
      <c r="A427" s="24">
        <v>0.29590277777777779</v>
      </c>
      <c r="C427">
        <v>765.24</v>
      </c>
      <c r="E427">
        <v>39.08</v>
      </c>
      <c r="G427">
        <v>6.95</v>
      </c>
      <c r="I427">
        <v>37.049999999999997</v>
      </c>
      <c r="K427">
        <v>0</v>
      </c>
    </row>
    <row r="428" spans="1:11" x14ac:dyDescent="0.3">
      <c r="A428" s="24">
        <v>0.29659722222222223</v>
      </c>
      <c r="C428">
        <v>766.02</v>
      </c>
      <c r="E428">
        <v>37.979999999999997</v>
      </c>
      <c r="G428">
        <v>6.95</v>
      </c>
      <c r="I428">
        <v>37.04</v>
      </c>
      <c r="K428">
        <v>0</v>
      </c>
    </row>
    <row r="429" spans="1:11" x14ac:dyDescent="0.3">
      <c r="A429" s="24">
        <v>0.29729166666666668</v>
      </c>
      <c r="C429">
        <v>766.59</v>
      </c>
      <c r="E429">
        <v>39</v>
      </c>
      <c r="G429">
        <v>6.95</v>
      </c>
      <c r="I429">
        <v>37.03</v>
      </c>
      <c r="K429">
        <v>14.64</v>
      </c>
    </row>
    <row r="430" spans="1:11" x14ac:dyDescent="0.3">
      <c r="A430" s="24">
        <v>0.29798611111111112</v>
      </c>
      <c r="C430">
        <v>767.36</v>
      </c>
      <c r="E430">
        <v>37.090000000000003</v>
      </c>
      <c r="G430">
        <v>6.95</v>
      </c>
      <c r="I430">
        <v>37.08</v>
      </c>
      <c r="K430">
        <v>14.64</v>
      </c>
    </row>
    <row r="431" spans="1:11" x14ac:dyDescent="0.3">
      <c r="A431" s="24">
        <v>0.29868055555555556</v>
      </c>
      <c r="C431">
        <v>768.63</v>
      </c>
      <c r="E431">
        <v>38.92</v>
      </c>
      <c r="G431">
        <v>6.95</v>
      </c>
      <c r="I431">
        <v>37.03</v>
      </c>
      <c r="K431">
        <v>0</v>
      </c>
    </row>
    <row r="432" spans="1:11" x14ac:dyDescent="0.3">
      <c r="A432" s="24">
        <v>0.299375</v>
      </c>
      <c r="C432">
        <v>769.39</v>
      </c>
      <c r="E432">
        <v>36.6</v>
      </c>
      <c r="G432">
        <v>6.95</v>
      </c>
      <c r="I432">
        <v>37.049999999999997</v>
      </c>
      <c r="K432">
        <v>15.03</v>
      </c>
    </row>
    <row r="433" spans="1:11" x14ac:dyDescent="0.3">
      <c r="A433" s="24">
        <v>0.30008101851851848</v>
      </c>
      <c r="C433">
        <v>771.13</v>
      </c>
      <c r="E433">
        <v>38.81</v>
      </c>
      <c r="G433">
        <v>6.95</v>
      </c>
      <c r="I433">
        <v>37.020000000000003</v>
      </c>
      <c r="K433">
        <v>0</v>
      </c>
    </row>
    <row r="434" spans="1:11" x14ac:dyDescent="0.3">
      <c r="A434" s="24">
        <v>0.30077546296296298</v>
      </c>
      <c r="C434">
        <v>771.91</v>
      </c>
      <c r="E434">
        <v>35.96</v>
      </c>
      <c r="G434">
        <v>6.95</v>
      </c>
      <c r="I434">
        <v>37.049999999999997</v>
      </c>
      <c r="K434">
        <v>15.03</v>
      </c>
    </row>
    <row r="435" spans="1:11" x14ac:dyDescent="0.3">
      <c r="A435" s="24">
        <v>0.30146990740740742</v>
      </c>
      <c r="C435">
        <v>774.18</v>
      </c>
      <c r="E435">
        <v>37.76</v>
      </c>
      <c r="G435">
        <v>6.95</v>
      </c>
      <c r="I435">
        <v>37.049999999999997</v>
      </c>
      <c r="K435">
        <v>14.55</v>
      </c>
    </row>
    <row r="436" spans="1:11" x14ac:dyDescent="0.3">
      <c r="A436" s="24">
        <v>0.30216435185185186</v>
      </c>
      <c r="C436">
        <v>774.81</v>
      </c>
      <c r="E436">
        <v>35.729999999999997</v>
      </c>
      <c r="G436">
        <v>6.95</v>
      </c>
      <c r="I436">
        <v>36.99</v>
      </c>
      <c r="K436">
        <v>0</v>
      </c>
    </row>
    <row r="437" spans="1:11" x14ac:dyDescent="0.3">
      <c r="A437" s="24">
        <v>0.30285879629629631</v>
      </c>
      <c r="C437">
        <v>776.89</v>
      </c>
      <c r="E437">
        <v>36.979999999999997</v>
      </c>
      <c r="G437">
        <v>6.95</v>
      </c>
      <c r="I437">
        <v>36.99</v>
      </c>
      <c r="K437">
        <v>15.52</v>
      </c>
    </row>
    <row r="438" spans="1:11" x14ac:dyDescent="0.3">
      <c r="A438" s="24">
        <v>0.30355324074074075</v>
      </c>
      <c r="C438">
        <v>779.64</v>
      </c>
      <c r="E438">
        <v>34.15</v>
      </c>
      <c r="G438">
        <v>6.95</v>
      </c>
      <c r="I438">
        <v>37.08</v>
      </c>
      <c r="K438">
        <v>14.94</v>
      </c>
    </row>
    <row r="439" spans="1:11" x14ac:dyDescent="0.3">
      <c r="A439" s="24">
        <v>0.30424768518518519</v>
      </c>
      <c r="C439">
        <v>780.54</v>
      </c>
      <c r="E439">
        <v>34.69</v>
      </c>
      <c r="G439">
        <v>6.95</v>
      </c>
      <c r="I439">
        <v>37.08</v>
      </c>
      <c r="K439">
        <v>0</v>
      </c>
    </row>
    <row r="440" spans="1:11" x14ac:dyDescent="0.3">
      <c r="A440" s="24">
        <v>0.30494212962962963</v>
      </c>
      <c r="C440">
        <v>783.42</v>
      </c>
      <c r="E440">
        <v>34.14</v>
      </c>
      <c r="G440">
        <v>6.95</v>
      </c>
      <c r="I440">
        <v>37.04</v>
      </c>
      <c r="K440">
        <v>0</v>
      </c>
    </row>
    <row r="441" spans="1:11" x14ac:dyDescent="0.3">
      <c r="A441" s="24">
        <v>0.30563657407407407</v>
      </c>
      <c r="C441">
        <v>785.9</v>
      </c>
      <c r="E441">
        <v>34.090000000000003</v>
      </c>
      <c r="G441">
        <v>6.95</v>
      </c>
      <c r="I441">
        <v>37.020000000000003</v>
      </c>
      <c r="K441">
        <v>0</v>
      </c>
    </row>
    <row r="442" spans="1:11" x14ac:dyDescent="0.3">
      <c r="A442" s="24">
        <v>0.30634259259259261</v>
      </c>
      <c r="C442">
        <v>788.74</v>
      </c>
      <c r="E442">
        <v>34.119999999999997</v>
      </c>
      <c r="G442">
        <v>6.95</v>
      </c>
      <c r="I442">
        <v>37.04</v>
      </c>
      <c r="K442">
        <v>14.35</v>
      </c>
    </row>
    <row r="443" spans="1:11" x14ac:dyDescent="0.3">
      <c r="A443" s="24">
        <v>0.30701388888888886</v>
      </c>
      <c r="C443">
        <v>790.19</v>
      </c>
      <c r="E443">
        <v>33.46</v>
      </c>
      <c r="G443">
        <v>6.95</v>
      </c>
      <c r="I443">
        <v>37.08</v>
      </c>
      <c r="K443">
        <v>14.35</v>
      </c>
    </row>
    <row r="444" spans="1:11" x14ac:dyDescent="0.3">
      <c r="A444" s="24">
        <v>0.30770833333333331</v>
      </c>
      <c r="C444">
        <v>793.67</v>
      </c>
      <c r="E444">
        <v>34.700000000000003</v>
      </c>
      <c r="G444">
        <v>6.95</v>
      </c>
      <c r="I444">
        <v>37.04</v>
      </c>
      <c r="K444">
        <v>15.32</v>
      </c>
    </row>
    <row r="445" spans="1:11" x14ac:dyDescent="0.3">
      <c r="A445" s="24">
        <v>0.30840277777777775</v>
      </c>
      <c r="C445">
        <v>796.29</v>
      </c>
      <c r="E445">
        <v>32.200000000000003</v>
      </c>
      <c r="G445">
        <v>6.95</v>
      </c>
      <c r="I445">
        <v>37.020000000000003</v>
      </c>
      <c r="K445">
        <v>15.23</v>
      </c>
    </row>
    <row r="446" spans="1:11" x14ac:dyDescent="0.3">
      <c r="A446" s="24">
        <v>0.30909722222222219</v>
      </c>
      <c r="C446">
        <v>799.36</v>
      </c>
      <c r="E446">
        <v>34.700000000000003</v>
      </c>
      <c r="G446">
        <v>6.95</v>
      </c>
      <c r="I446">
        <v>36.99</v>
      </c>
      <c r="K446">
        <v>14.35</v>
      </c>
    </row>
    <row r="447" spans="1:11" x14ac:dyDescent="0.3">
      <c r="A447" s="24">
        <v>0.30979166666666663</v>
      </c>
      <c r="C447">
        <v>801.85</v>
      </c>
      <c r="E447">
        <v>32.74</v>
      </c>
      <c r="G447">
        <v>6.95</v>
      </c>
      <c r="I447">
        <v>37.07</v>
      </c>
      <c r="K447">
        <v>0</v>
      </c>
    </row>
    <row r="448" spans="1:11" x14ac:dyDescent="0.3">
      <c r="A448" s="24">
        <v>0.31048611111111113</v>
      </c>
      <c r="C448">
        <v>805.09</v>
      </c>
      <c r="E448">
        <v>34.799999999999997</v>
      </c>
      <c r="G448">
        <v>6.95</v>
      </c>
      <c r="I448">
        <v>36.99</v>
      </c>
      <c r="K448">
        <v>0</v>
      </c>
    </row>
    <row r="449" spans="1:11" x14ac:dyDescent="0.3">
      <c r="A449" s="24">
        <v>0.31118055555555557</v>
      </c>
      <c r="C449">
        <v>807.03</v>
      </c>
      <c r="E449">
        <v>32.229999999999997</v>
      </c>
      <c r="G449">
        <v>6.95</v>
      </c>
      <c r="I449">
        <v>37.04</v>
      </c>
      <c r="K449">
        <v>0</v>
      </c>
    </row>
    <row r="450" spans="1:11" x14ac:dyDescent="0.3">
      <c r="A450" s="24">
        <v>0.31188657407407411</v>
      </c>
      <c r="C450">
        <v>809.57</v>
      </c>
      <c r="E450">
        <v>35.19</v>
      </c>
      <c r="G450">
        <v>6.95</v>
      </c>
      <c r="I450">
        <v>37.03</v>
      </c>
      <c r="K450">
        <v>14.94</v>
      </c>
    </row>
    <row r="451" spans="1:11" x14ac:dyDescent="0.3">
      <c r="A451" s="24">
        <v>0.31258101851851855</v>
      </c>
      <c r="C451">
        <v>811.57</v>
      </c>
      <c r="E451">
        <v>32.79</v>
      </c>
      <c r="G451">
        <v>6.95</v>
      </c>
      <c r="I451">
        <v>37.020000000000003</v>
      </c>
      <c r="K451">
        <v>15.52</v>
      </c>
    </row>
    <row r="452" spans="1:11" x14ac:dyDescent="0.3">
      <c r="A452" s="24">
        <v>0.31327546296296299</v>
      </c>
      <c r="C452">
        <v>814.6</v>
      </c>
      <c r="E452">
        <v>35.159999999999997</v>
      </c>
      <c r="G452">
        <v>6.95</v>
      </c>
      <c r="I452">
        <v>37.08</v>
      </c>
      <c r="K452">
        <v>0</v>
      </c>
    </row>
    <row r="453" spans="1:11" x14ac:dyDescent="0.3">
      <c r="A453" s="24">
        <v>0.31396990740740743</v>
      </c>
      <c r="C453">
        <v>815.8</v>
      </c>
      <c r="E453">
        <v>33.200000000000003</v>
      </c>
      <c r="G453">
        <v>6.95</v>
      </c>
      <c r="I453">
        <v>37.06</v>
      </c>
      <c r="K453">
        <v>15.13</v>
      </c>
    </row>
    <row r="454" spans="1:11" x14ac:dyDescent="0.3">
      <c r="A454" s="24">
        <v>0.31466435185185188</v>
      </c>
      <c r="C454">
        <v>818.16</v>
      </c>
      <c r="E454">
        <v>34.71</v>
      </c>
      <c r="G454">
        <v>6.95</v>
      </c>
      <c r="I454">
        <v>37.08</v>
      </c>
      <c r="K454">
        <v>0</v>
      </c>
    </row>
    <row r="455" spans="1:11" x14ac:dyDescent="0.3">
      <c r="A455" s="24">
        <v>0.31535879629629632</v>
      </c>
      <c r="C455">
        <v>821.99</v>
      </c>
      <c r="E455">
        <v>32.96</v>
      </c>
      <c r="G455">
        <v>6.95</v>
      </c>
      <c r="I455">
        <v>37.06</v>
      </c>
      <c r="K455">
        <v>0</v>
      </c>
    </row>
    <row r="456" spans="1:11" x14ac:dyDescent="0.3">
      <c r="A456" s="24">
        <v>0.31605324074074076</v>
      </c>
      <c r="C456">
        <v>823.17</v>
      </c>
      <c r="E456">
        <v>33.72</v>
      </c>
      <c r="G456">
        <v>6.95</v>
      </c>
      <c r="I456">
        <v>36.950000000000003</v>
      </c>
      <c r="K456">
        <v>0</v>
      </c>
    </row>
    <row r="457" spans="1:11" x14ac:dyDescent="0.3">
      <c r="A457" s="24">
        <v>0.3167476851851852</v>
      </c>
      <c r="C457">
        <v>827.95</v>
      </c>
      <c r="E457">
        <v>32.94</v>
      </c>
      <c r="G457">
        <v>6.95</v>
      </c>
      <c r="I457">
        <v>37.01</v>
      </c>
      <c r="K457">
        <v>14.94</v>
      </c>
    </row>
    <row r="458" spans="1:11" x14ac:dyDescent="0.3">
      <c r="A458" s="24">
        <v>0.31744212962962964</v>
      </c>
      <c r="C458">
        <v>828.71</v>
      </c>
      <c r="E458">
        <v>33.19</v>
      </c>
      <c r="G458">
        <v>6.95</v>
      </c>
      <c r="I458">
        <v>36.99</v>
      </c>
      <c r="K458">
        <v>15.03</v>
      </c>
    </row>
    <row r="459" spans="1:11" x14ac:dyDescent="0.3">
      <c r="A459" s="24">
        <v>0.31814814814814812</v>
      </c>
      <c r="C459">
        <v>831.08</v>
      </c>
      <c r="E459">
        <v>32.450000000000003</v>
      </c>
      <c r="G459">
        <v>6.95</v>
      </c>
      <c r="I459">
        <v>37.03</v>
      </c>
      <c r="K459">
        <v>0</v>
      </c>
    </row>
    <row r="460" spans="1:11" x14ac:dyDescent="0.3">
      <c r="A460" s="24">
        <v>0.31881944444444443</v>
      </c>
      <c r="C460">
        <v>833.2</v>
      </c>
      <c r="E460">
        <v>32.6</v>
      </c>
      <c r="G460">
        <v>6.95</v>
      </c>
      <c r="I460">
        <v>37.020000000000003</v>
      </c>
      <c r="K460">
        <v>14.64</v>
      </c>
    </row>
    <row r="461" spans="1:11" x14ac:dyDescent="0.3">
      <c r="A461" s="24">
        <v>0.31951388888888888</v>
      </c>
      <c r="C461">
        <v>835.56</v>
      </c>
      <c r="E461">
        <v>33.9</v>
      </c>
      <c r="G461">
        <v>6.95</v>
      </c>
      <c r="I461">
        <v>36.99</v>
      </c>
      <c r="K461">
        <v>15.23</v>
      </c>
    </row>
    <row r="462" spans="1:11" x14ac:dyDescent="0.3">
      <c r="A462" s="24">
        <v>0.32020833333333337</v>
      </c>
      <c r="C462">
        <v>839.12</v>
      </c>
      <c r="E462">
        <v>31.87</v>
      </c>
      <c r="G462">
        <v>6.95</v>
      </c>
      <c r="I462">
        <v>37.01</v>
      </c>
      <c r="K462">
        <v>0</v>
      </c>
    </row>
    <row r="463" spans="1:11" x14ac:dyDescent="0.3">
      <c r="A463" s="24">
        <v>0.32090277777777776</v>
      </c>
      <c r="C463">
        <v>842.88</v>
      </c>
      <c r="E463">
        <v>33.22</v>
      </c>
      <c r="G463">
        <v>6.95</v>
      </c>
      <c r="I463">
        <v>36.97</v>
      </c>
      <c r="K463">
        <v>15.52</v>
      </c>
    </row>
    <row r="464" spans="1:11" x14ac:dyDescent="0.3">
      <c r="A464" s="24">
        <v>0.32159722222222226</v>
      </c>
      <c r="C464">
        <v>845.29</v>
      </c>
      <c r="E464">
        <v>31.63</v>
      </c>
      <c r="G464">
        <v>6.95</v>
      </c>
      <c r="I464">
        <v>37.049999999999997</v>
      </c>
      <c r="K464">
        <v>0</v>
      </c>
    </row>
    <row r="465" spans="1:11" x14ac:dyDescent="0.3">
      <c r="A465" s="24">
        <v>0.3222916666666667</v>
      </c>
      <c r="C465">
        <v>849.55</v>
      </c>
      <c r="E465">
        <v>33.49</v>
      </c>
      <c r="G465">
        <v>6.94</v>
      </c>
      <c r="I465">
        <v>36.96</v>
      </c>
      <c r="K465">
        <v>15.42</v>
      </c>
    </row>
    <row r="466" spans="1:11" x14ac:dyDescent="0.3">
      <c r="A466" s="24">
        <v>0.32298611111111114</v>
      </c>
      <c r="C466">
        <v>851.36</v>
      </c>
      <c r="E466">
        <v>30.76</v>
      </c>
      <c r="G466">
        <v>6.95</v>
      </c>
      <c r="I466">
        <v>37.119999999999997</v>
      </c>
      <c r="K466">
        <v>14.94</v>
      </c>
    </row>
    <row r="467" spans="1:11" x14ac:dyDescent="0.3">
      <c r="A467" s="24">
        <v>0.32368055555555558</v>
      </c>
      <c r="C467">
        <v>855.22</v>
      </c>
      <c r="E467">
        <v>32.49</v>
      </c>
      <c r="G467">
        <v>6.95</v>
      </c>
      <c r="I467">
        <v>37.06</v>
      </c>
      <c r="K467">
        <v>0</v>
      </c>
    </row>
    <row r="468" spans="1:11" x14ac:dyDescent="0.3">
      <c r="A468" s="24">
        <v>0.32438657407407406</v>
      </c>
      <c r="C468">
        <v>855.71</v>
      </c>
      <c r="E468">
        <v>30.13</v>
      </c>
      <c r="G468">
        <v>6.95</v>
      </c>
      <c r="I468">
        <v>36.979999999999997</v>
      </c>
      <c r="K468">
        <v>15.32</v>
      </c>
    </row>
    <row r="469" spans="1:11" x14ac:dyDescent="0.3">
      <c r="A469" s="24">
        <v>0.32508101851851851</v>
      </c>
      <c r="C469">
        <v>861.62</v>
      </c>
      <c r="E469">
        <v>31.29</v>
      </c>
      <c r="G469">
        <v>6.95</v>
      </c>
      <c r="I469">
        <v>37</v>
      </c>
      <c r="K469">
        <v>14.55</v>
      </c>
    </row>
    <row r="470" spans="1:11" x14ac:dyDescent="0.3">
      <c r="A470" s="24">
        <v>0.32577546296296295</v>
      </c>
      <c r="C470">
        <v>865.54</v>
      </c>
      <c r="E470">
        <v>29.55</v>
      </c>
      <c r="G470">
        <v>6.95</v>
      </c>
      <c r="I470">
        <v>37.049999999999997</v>
      </c>
      <c r="K470">
        <v>0</v>
      </c>
    </row>
    <row r="471" spans="1:11" x14ac:dyDescent="0.3">
      <c r="A471" s="24">
        <v>0.32646990740740739</v>
      </c>
      <c r="C471">
        <v>868.52</v>
      </c>
      <c r="E471">
        <v>30.85</v>
      </c>
      <c r="G471">
        <v>6.95</v>
      </c>
      <c r="I471">
        <v>37.1</v>
      </c>
      <c r="K471">
        <v>14.55</v>
      </c>
    </row>
    <row r="472" spans="1:11" x14ac:dyDescent="0.3">
      <c r="A472" s="24">
        <v>0.32716435185185183</v>
      </c>
      <c r="C472">
        <v>872.32</v>
      </c>
      <c r="E472">
        <v>29.07</v>
      </c>
      <c r="G472">
        <v>6.95</v>
      </c>
      <c r="I472">
        <v>37.07</v>
      </c>
      <c r="K472">
        <v>14.74</v>
      </c>
    </row>
    <row r="473" spans="1:11" x14ac:dyDescent="0.3">
      <c r="A473" s="24">
        <v>0.32785879629629627</v>
      </c>
      <c r="C473">
        <v>875.67</v>
      </c>
      <c r="E473">
        <v>29.55</v>
      </c>
      <c r="G473">
        <v>6.95</v>
      </c>
      <c r="I473">
        <v>37.04</v>
      </c>
      <c r="K473">
        <v>15.13</v>
      </c>
    </row>
    <row r="474" spans="1:11" x14ac:dyDescent="0.3">
      <c r="A474" s="24">
        <v>0.32855324074074072</v>
      </c>
      <c r="C474">
        <v>878.7</v>
      </c>
      <c r="E474">
        <v>28.63</v>
      </c>
      <c r="G474">
        <v>6.95</v>
      </c>
      <c r="I474">
        <v>36.93</v>
      </c>
      <c r="K474">
        <v>0</v>
      </c>
    </row>
    <row r="475" spans="1:11" x14ac:dyDescent="0.3">
      <c r="A475" s="24">
        <v>0.32924768518518516</v>
      </c>
      <c r="C475">
        <v>883.31</v>
      </c>
      <c r="E475">
        <v>28.61</v>
      </c>
      <c r="G475">
        <v>6.95</v>
      </c>
      <c r="I475">
        <v>36.97</v>
      </c>
      <c r="K475">
        <v>14.64</v>
      </c>
    </row>
    <row r="476" spans="1:11" x14ac:dyDescent="0.3">
      <c r="A476" s="24">
        <v>0.32995370370370369</v>
      </c>
      <c r="C476">
        <v>888.25</v>
      </c>
      <c r="E476">
        <v>28.94</v>
      </c>
      <c r="G476">
        <v>6.95</v>
      </c>
      <c r="I476">
        <v>37.049999999999997</v>
      </c>
      <c r="K476">
        <v>14.94</v>
      </c>
    </row>
    <row r="477" spans="1:11" x14ac:dyDescent="0.3">
      <c r="A477" s="24">
        <v>0.33064814814814814</v>
      </c>
      <c r="C477">
        <v>891.06</v>
      </c>
      <c r="E477">
        <v>29.72</v>
      </c>
      <c r="G477">
        <v>6.95</v>
      </c>
      <c r="I477">
        <v>37</v>
      </c>
      <c r="K477">
        <v>0</v>
      </c>
    </row>
    <row r="478" spans="1:11" x14ac:dyDescent="0.3">
      <c r="A478" s="24">
        <v>0.33131944444444444</v>
      </c>
      <c r="C478">
        <v>893.62</v>
      </c>
      <c r="E478">
        <v>29.49</v>
      </c>
      <c r="G478">
        <v>6.95</v>
      </c>
      <c r="I478">
        <v>37.07</v>
      </c>
      <c r="K478">
        <v>14.74</v>
      </c>
    </row>
    <row r="479" spans="1:11" x14ac:dyDescent="0.3">
      <c r="A479" s="24">
        <v>0.33201388888888889</v>
      </c>
      <c r="C479">
        <v>897.6</v>
      </c>
      <c r="E479">
        <v>29.45</v>
      </c>
      <c r="G479">
        <v>6.95</v>
      </c>
      <c r="I479">
        <v>36.99</v>
      </c>
      <c r="K479">
        <v>15.03</v>
      </c>
    </row>
    <row r="480" spans="1:11" x14ac:dyDescent="0.3">
      <c r="A480" s="24">
        <v>0.33270833333333333</v>
      </c>
      <c r="C480">
        <v>900.37</v>
      </c>
      <c r="E480">
        <v>30.59</v>
      </c>
      <c r="G480">
        <v>6.95</v>
      </c>
      <c r="I480">
        <v>37.020000000000003</v>
      </c>
      <c r="K480">
        <v>15.23</v>
      </c>
    </row>
    <row r="481" spans="1:11" x14ac:dyDescent="0.3">
      <c r="A481" s="24">
        <v>0.33340277777777777</v>
      </c>
      <c r="C481">
        <v>905.5</v>
      </c>
      <c r="E481">
        <v>29.06</v>
      </c>
      <c r="G481">
        <v>6.95</v>
      </c>
      <c r="I481">
        <v>37.020000000000003</v>
      </c>
      <c r="K481">
        <v>0</v>
      </c>
    </row>
    <row r="482" spans="1:11" x14ac:dyDescent="0.3">
      <c r="A482" s="24">
        <v>0.33409722222222221</v>
      </c>
      <c r="C482">
        <v>908.01</v>
      </c>
      <c r="E482">
        <v>30.15</v>
      </c>
      <c r="G482">
        <v>6.95</v>
      </c>
      <c r="I482">
        <v>37.08</v>
      </c>
      <c r="K482">
        <v>0</v>
      </c>
    </row>
    <row r="483" spans="1:11" x14ac:dyDescent="0.3">
      <c r="A483" s="24">
        <v>0.33479166666666665</v>
      </c>
      <c r="C483">
        <v>912.25</v>
      </c>
      <c r="E483">
        <v>28.53</v>
      </c>
      <c r="G483">
        <v>6.95</v>
      </c>
      <c r="I483">
        <v>36.99</v>
      </c>
      <c r="K483">
        <v>0</v>
      </c>
    </row>
    <row r="484" spans="1:11" x14ac:dyDescent="0.3">
      <c r="A484" s="24">
        <v>0.3354861111111111</v>
      </c>
      <c r="C484">
        <v>916.17</v>
      </c>
      <c r="E484">
        <v>30.67</v>
      </c>
      <c r="G484">
        <v>6.95</v>
      </c>
      <c r="I484">
        <v>36.99</v>
      </c>
      <c r="K484">
        <v>15.32</v>
      </c>
    </row>
    <row r="485" spans="1:11" x14ac:dyDescent="0.3">
      <c r="A485" s="24">
        <v>0.33619212962962958</v>
      </c>
      <c r="C485">
        <v>919.22</v>
      </c>
      <c r="E485">
        <v>28</v>
      </c>
      <c r="G485">
        <v>6.95</v>
      </c>
      <c r="I485">
        <v>37</v>
      </c>
      <c r="K485">
        <v>14.55</v>
      </c>
    </row>
    <row r="486" spans="1:11" x14ac:dyDescent="0.3">
      <c r="A486" s="24">
        <v>0.33688657407407407</v>
      </c>
      <c r="C486">
        <v>923.97</v>
      </c>
      <c r="E486">
        <v>30.13</v>
      </c>
      <c r="G486">
        <v>6.95</v>
      </c>
      <c r="I486">
        <v>37.07</v>
      </c>
      <c r="K486">
        <v>15.23</v>
      </c>
    </row>
    <row r="487" spans="1:11" x14ac:dyDescent="0.3">
      <c r="A487" s="24">
        <v>0.33758101851851857</v>
      </c>
      <c r="C487">
        <v>926.33</v>
      </c>
      <c r="E487">
        <v>27.67</v>
      </c>
      <c r="G487">
        <v>6.95</v>
      </c>
      <c r="I487">
        <v>36.97</v>
      </c>
      <c r="K487">
        <v>14.64</v>
      </c>
    </row>
    <row r="488" spans="1:11" x14ac:dyDescent="0.3">
      <c r="A488" s="24">
        <v>0.33827546296296296</v>
      </c>
      <c r="C488">
        <v>931.23</v>
      </c>
      <c r="E488">
        <v>29.69</v>
      </c>
      <c r="G488">
        <v>6.95</v>
      </c>
      <c r="I488">
        <v>36.99</v>
      </c>
      <c r="K488">
        <v>0</v>
      </c>
    </row>
    <row r="489" spans="1:11" x14ac:dyDescent="0.3">
      <c r="A489" s="24">
        <v>0.33896990740740746</v>
      </c>
      <c r="C489">
        <v>934.66</v>
      </c>
      <c r="E489">
        <v>27.42</v>
      </c>
      <c r="G489">
        <v>6.95</v>
      </c>
      <c r="I489">
        <v>37.119999999999997</v>
      </c>
      <c r="K489">
        <v>0</v>
      </c>
    </row>
    <row r="490" spans="1:11" x14ac:dyDescent="0.3">
      <c r="A490" s="24">
        <v>0.33966435185185184</v>
      </c>
      <c r="C490">
        <v>938.41</v>
      </c>
      <c r="E490">
        <v>29.34</v>
      </c>
      <c r="G490">
        <v>6.95</v>
      </c>
      <c r="I490">
        <v>37.07</v>
      </c>
      <c r="K490">
        <v>0</v>
      </c>
    </row>
    <row r="491" spans="1:11" x14ac:dyDescent="0.3">
      <c r="A491" s="24">
        <v>0.34035879629629634</v>
      </c>
      <c r="C491">
        <v>941.59</v>
      </c>
      <c r="E491">
        <v>27.2</v>
      </c>
      <c r="G491">
        <v>6.95</v>
      </c>
      <c r="I491">
        <v>37.06</v>
      </c>
      <c r="K491">
        <v>0</v>
      </c>
    </row>
    <row r="492" spans="1:11" x14ac:dyDescent="0.3">
      <c r="A492" s="24">
        <v>0.34105324074074073</v>
      </c>
      <c r="C492">
        <v>947.25</v>
      </c>
      <c r="E492">
        <v>28.65</v>
      </c>
      <c r="G492">
        <v>6.95</v>
      </c>
      <c r="I492">
        <v>37.1</v>
      </c>
      <c r="K492">
        <v>14.45</v>
      </c>
    </row>
    <row r="493" spans="1:11" x14ac:dyDescent="0.3">
      <c r="A493" s="24">
        <v>0.34174768518518522</v>
      </c>
      <c r="C493">
        <v>950.52</v>
      </c>
      <c r="E493">
        <v>26.63</v>
      </c>
      <c r="G493">
        <v>6.95</v>
      </c>
      <c r="I493">
        <v>37.020000000000003</v>
      </c>
      <c r="K493">
        <v>14.45</v>
      </c>
    </row>
    <row r="494" spans="1:11" x14ac:dyDescent="0.3">
      <c r="A494" s="24">
        <v>0.3424537037037037</v>
      </c>
      <c r="C494">
        <v>954.1</v>
      </c>
      <c r="E494">
        <v>28.4</v>
      </c>
      <c r="G494">
        <v>6.95</v>
      </c>
      <c r="I494">
        <v>37.06</v>
      </c>
      <c r="K494">
        <v>0</v>
      </c>
    </row>
    <row r="495" spans="1:11" x14ac:dyDescent="0.3">
      <c r="A495" s="24">
        <v>0.34312499999999996</v>
      </c>
      <c r="C495">
        <v>958.86</v>
      </c>
      <c r="E495">
        <v>26.46</v>
      </c>
      <c r="G495">
        <v>6.95</v>
      </c>
      <c r="I495">
        <v>37.07</v>
      </c>
      <c r="K495">
        <v>0</v>
      </c>
    </row>
    <row r="496" spans="1:11" x14ac:dyDescent="0.3">
      <c r="A496" s="24">
        <v>0.34381944444444446</v>
      </c>
      <c r="C496">
        <v>963.49</v>
      </c>
      <c r="E496">
        <v>26.6</v>
      </c>
      <c r="G496">
        <v>6.95</v>
      </c>
      <c r="I496">
        <v>37</v>
      </c>
      <c r="K496">
        <v>15.03</v>
      </c>
    </row>
    <row r="497" spans="1:11" x14ac:dyDescent="0.3">
      <c r="A497" s="24">
        <v>0.34451388888888884</v>
      </c>
      <c r="C497">
        <v>967.81</v>
      </c>
      <c r="E497">
        <v>26.36</v>
      </c>
      <c r="G497">
        <v>6.95</v>
      </c>
      <c r="I497">
        <v>37.03</v>
      </c>
      <c r="K497">
        <v>15.61</v>
      </c>
    </row>
    <row r="498" spans="1:11" x14ac:dyDescent="0.3">
      <c r="A498" s="24">
        <v>0.34520833333333334</v>
      </c>
      <c r="C498">
        <v>970.92</v>
      </c>
      <c r="E498">
        <v>26.08</v>
      </c>
      <c r="G498">
        <v>6.95</v>
      </c>
      <c r="I498">
        <v>37.049999999999997</v>
      </c>
      <c r="K498">
        <v>0</v>
      </c>
    </row>
    <row r="499" spans="1:11" x14ac:dyDescent="0.3">
      <c r="A499" s="24">
        <v>0.34590277777777773</v>
      </c>
      <c r="C499">
        <v>975.91</v>
      </c>
      <c r="E499">
        <v>26.23</v>
      </c>
      <c r="G499">
        <v>6.95</v>
      </c>
      <c r="I499">
        <v>36.99</v>
      </c>
      <c r="K499">
        <v>0</v>
      </c>
    </row>
    <row r="500" spans="1:11" x14ac:dyDescent="0.3">
      <c r="A500" s="24">
        <v>0.34659722222222222</v>
      </c>
      <c r="C500">
        <v>979.63</v>
      </c>
      <c r="E500">
        <v>25.65</v>
      </c>
      <c r="G500">
        <v>6.95</v>
      </c>
      <c r="I500">
        <v>37.090000000000003</v>
      </c>
      <c r="K500">
        <v>14.45</v>
      </c>
    </row>
    <row r="501" spans="1:11" x14ac:dyDescent="0.3">
      <c r="A501" s="24">
        <v>0.34729166666666672</v>
      </c>
      <c r="C501">
        <v>985.1</v>
      </c>
      <c r="E501">
        <v>25.88</v>
      </c>
      <c r="G501">
        <v>6.95</v>
      </c>
      <c r="I501">
        <v>37.1</v>
      </c>
      <c r="K501">
        <v>15.13</v>
      </c>
    </row>
    <row r="502" spans="1:11" x14ac:dyDescent="0.3">
      <c r="A502" s="24">
        <v>0.3479976851851852</v>
      </c>
      <c r="C502">
        <v>987.41</v>
      </c>
      <c r="E502">
        <v>25.39</v>
      </c>
      <c r="G502">
        <v>6.95</v>
      </c>
      <c r="I502">
        <v>37.08</v>
      </c>
      <c r="K502">
        <v>0</v>
      </c>
    </row>
    <row r="503" spans="1:11" x14ac:dyDescent="0.3">
      <c r="A503" s="24">
        <v>0.34869212962962964</v>
      </c>
      <c r="C503">
        <v>993.08</v>
      </c>
      <c r="E503">
        <v>27.13</v>
      </c>
      <c r="G503">
        <v>6.95</v>
      </c>
      <c r="I503">
        <v>37.08</v>
      </c>
      <c r="K503">
        <v>14.94</v>
      </c>
    </row>
    <row r="504" spans="1:11" x14ac:dyDescent="0.3">
      <c r="A504" s="24">
        <v>0.34938657407407409</v>
      </c>
      <c r="C504">
        <v>997.47</v>
      </c>
      <c r="E504">
        <v>24.78</v>
      </c>
      <c r="G504">
        <v>6.95</v>
      </c>
      <c r="I504">
        <v>37.06</v>
      </c>
      <c r="K504">
        <v>14.94</v>
      </c>
    </row>
    <row r="505" spans="1:11" x14ac:dyDescent="0.3">
      <c r="A505" s="24">
        <v>0.35008101851851853</v>
      </c>
      <c r="C505" s="25">
        <v>1001.22</v>
      </c>
      <c r="E505">
        <v>26.97</v>
      </c>
      <c r="G505">
        <v>6.95</v>
      </c>
      <c r="I505">
        <v>37.11</v>
      </c>
      <c r="K505">
        <v>14.55</v>
      </c>
    </row>
    <row r="506" spans="1:11" x14ac:dyDescent="0.3">
      <c r="A506" s="24">
        <v>0.35077546296296297</v>
      </c>
      <c r="C506">
        <v>998.91</v>
      </c>
      <c r="E506">
        <v>24.95</v>
      </c>
      <c r="G506">
        <v>6.95</v>
      </c>
      <c r="I506">
        <v>37.08</v>
      </c>
      <c r="K506">
        <v>15.03</v>
      </c>
    </row>
    <row r="507" spans="1:11" x14ac:dyDescent="0.3">
      <c r="A507" s="24">
        <v>0.35146990740740741</v>
      </c>
      <c r="C507" s="25">
        <v>1002.42</v>
      </c>
      <c r="E507">
        <v>26.84</v>
      </c>
      <c r="G507">
        <v>6.95</v>
      </c>
      <c r="I507">
        <v>37.07</v>
      </c>
      <c r="K507">
        <v>15.52</v>
      </c>
    </row>
    <row r="508" spans="1:11" x14ac:dyDescent="0.3">
      <c r="A508" s="24">
        <v>0.35216435185185185</v>
      </c>
      <c r="C508">
        <v>999.11</v>
      </c>
      <c r="E508">
        <v>23.98</v>
      </c>
      <c r="G508">
        <v>6.95</v>
      </c>
      <c r="I508">
        <v>36.979999999999997</v>
      </c>
      <c r="K508">
        <v>14.74</v>
      </c>
    </row>
    <row r="509" spans="1:11" x14ac:dyDescent="0.3">
      <c r="A509" s="24">
        <v>0.3528587962962963</v>
      </c>
      <c r="C509" s="25">
        <v>1001.45</v>
      </c>
      <c r="E509">
        <v>25.61</v>
      </c>
      <c r="G509">
        <v>6.95</v>
      </c>
      <c r="I509">
        <v>37.08</v>
      </c>
      <c r="K509">
        <v>15.61</v>
      </c>
    </row>
    <row r="510" spans="1:11" x14ac:dyDescent="0.3">
      <c r="A510" s="24">
        <v>0.35355324074074074</v>
      </c>
      <c r="C510" s="25">
        <v>1006.24</v>
      </c>
      <c r="E510">
        <v>22.91</v>
      </c>
      <c r="G510">
        <v>6.95</v>
      </c>
      <c r="I510">
        <v>37.049999999999997</v>
      </c>
      <c r="K510">
        <v>15.23</v>
      </c>
    </row>
    <row r="511" spans="1:11" x14ac:dyDescent="0.3">
      <c r="A511" s="24">
        <v>0.35425925925925927</v>
      </c>
      <c r="C511" s="25">
        <v>1000.71</v>
      </c>
      <c r="E511">
        <v>24.53</v>
      </c>
      <c r="G511">
        <v>6.95</v>
      </c>
      <c r="I511">
        <v>37.03</v>
      </c>
      <c r="K511">
        <v>14.74</v>
      </c>
    </row>
    <row r="512" spans="1:11" x14ac:dyDescent="0.3">
      <c r="A512" s="24">
        <v>0.35493055555555553</v>
      </c>
      <c r="C512" s="25">
        <v>1000.53</v>
      </c>
      <c r="E512">
        <v>21.6</v>
      </c>
      <c r="G512">
        <v>6.94</v>
      </c>
      <c r="I512">
        <v>37.03</v>
      </c>
      <c r="K512">
        <v>16</v>
      </c>
    </row>
    <row r="513" spans="1:11" x14ac:dyDescent="0.3">
      <c r="A513" s="24">
        <v>0.35562500000000002</v>
      </c>
      <c r="C513">
        <v>999.43</v>
      </c>
      <c r="E513">
        <v>22.84</v>
      </c>
      <c r="G513">
        <v>6.95</v>
      </c>
      <c r="I513">
        <v>37.020000000000003</v>
      </c>
      <c r="K513">
        <v>0</v>
      </c>
    </row>
    <row r="514" spans="1:11" x14ac:dyDescent="0.3">
      <c r="A514" s="24">
        <v>0.35631944444444441</v>
      </c>
      <c r="C514">
        <v>999.82</v>
      </c>
      <c r="E514">
        <v>20.34</v>
      </c>
      <c r="G514">
        <v>6.95</v>
      </c>
      <c r="I514">
        <v>37</v>
      </c>
      <c r="K514">
        <v>0</v>
      </c>
    </row>
    <row r="515" spans="1:11" x14ac:dyDescent="0.3">
      <c r="A515" s="24">
        <v>0.35701388888888891</v>
      </c>
      <c r="C515">
        <v>999.14</v>
      </c>
      <c r="E515">
        <v>20.92</v>
      </c>
      <c r="G515">
        <v>6.95</v>
      </c>
      <c r="I515">
        <v>36.94</v>
      </c>
      <c r="K515">
        <v>15.23</v>
      </c>
    </row>
    <row r="516" spans="1:11" x14ac:dyDescent="0.3">
      <c r="A516" s="24">
        <v>0.35770833333333335</v>
      </c>
      <c r="C516" s="25">
        <v>1000.28</v>
      </c>
      <c r="E516">
        <v>19.440000000000001</v>
      </c>
      <c r="G516">
        <v>6.95</v>
      </c>
      <c r="I516">
        <v>37.020000000000003</v>
      </c>
      <c r="K516">
        <v>14.74</v>
      </c>
    </row>
    <row r="517" spans="1:11" x14ac:dyDescent="0.3">
      <c r="A517" s="24">
        <v>0.35840277777777779</v>
      </c>
      <c r="C517">
        <v>999.81</v>
      </c>
      <c r="E517">
        <v>19.670000000000002</v>
      </c>
      <c r="G517">
        <v>6.95</v>
      </c>
      <c r="I517">
        <v>37.07</v>
      </c>
      <c r="K517">
        <v>0</v>
      </c>
    </row>
    <row r="518" spans="1:11" x14ac:dyDescent="0.3">
      <c r="A518" s="24">
        <v>0.35909722222222223</v>
      </c>
      <c r="C518">
        <v>999.42</v>
      </c>
      <c r="E518">
        <v>18.899999999999999</v>
      </c>
      <c r="G518">
        <v>6.95</v>
      </c>
      <c r="I518">
        <v>37.01</v>
      </c>
      <c r="K518">
        <v>16</v>
      </c>
    </row>
    <row r="519" spans="1:11" x14ac:dyDescent="0.3">
      <c r="A519" s="24">
        <v>0.35980324074074077</v>
      </c>
      <c r="C519" s="25">
        <v>1000.72</v>
      </c>
      <c r="E519">
        <v>18.53</v>
      </c>
      <c r="G519">
        <v>6.95</v>
      </c>
      <c r="I519">
        <v>37.01</v>
      </c>
      <c r="K519">
        <v>14.94</v>
      </c>
    </row>
    <row r="520" spans="1:11" x14ac:dyDescent="0.3">
      <c r="A520" s="24">
        <v>0.36049768518518516</v>
      </c>
      <c r="C520">
        <v>998.85</v>
      </c>
      <c r="E520">
        <v>19.89</v>
      </c>
      <c r="G520">
        <v>6.95</v>
      </c>
      <c r="I520">
        <v>37.06</v>
      </c>
      <c r="K520">
        <v>15.13</v>
      </c>
    </row>
    <row r="521" spans="1:11" x14ac:dyDescent="0.3">
      <c r="A521" s="24">
        <v>0.36119212962962965</v>
      </c>
      <c r="C521" s="25">
        <v>1000.61</v>
      </c>
      <c r="E521">
        <v>21.77</v>
      </c>
      <c r="G521">
        <v>6.94</v>
      </c>
      <c r="I521">
        <v>37.020000000000003</v>
      </c>
      <c r="K521">
        <v>16.100000000000001</v>
      </c>
    </row>
    <row r="522" spans="1:11" x14ac:dyDescent="0.3">
      <c r="A522" s="24">
        <v>0.36188657407407404</v>
      </c>
      <c r="C522">
        <v>999.41</v>
      </c>
      <c r="E522">
        <v>22.81</v>
      </c>
      <c r="G522">
        <v>6.92</v>
      </c>
      <c r="I522">
        <v>37.049999999999997</v>
      </c>
      <c r="K522">
        <v>22.4</v>
      </c>
    </row>
    <row r="523" spans="1:11" x14ac:dyDescent="0.3">
      <c r="A523" s="24">
        <v>0.36258101851851854</v>
      </c>
      <c r="C523">
        <v>998.57</v>
      </c>
      <c r="E523">
        <v>23.86</v>
      </c>
      <c r="G523">
        <v>6.9</v>
      </c>
      <c r="I523">
        <v>37.06</v>
      </c>
      <c r="K523">
        <v>27.35</v>
      </c>
    </row>
    <row r="524" spans="1:11" x14ac:dyDescent="0.3">
      <c r="A524" s="24">
        <v>0.36327546296296293</v>
      </c>
      <c r="C524">
        <v>998.55</v>
      </c>
      <c r="E524">
        <v>50.52</v>
      </c>
      <c r="G524">
        <v>6.96</v>
      </c>
      <c r="I524">
        <v>37.01</v>
      </c>
      <c r="K524">
        <v>0</v>
      </c>
    </row>
    <row r="525" spans="1:11" x14ac:dyDescent="0.3">
      <c r="A525" s="24">
        <v>0.36396990740740742</v>
      </c>
      <c r="C525">
        <v>992.76</v>
      </c>
      <c r="E525">
        <v>57.52</v>
      </c>
      <c r="G525">
        <v>7.01</v>
      </c>
      <c r="I525">
        <v>37.020000000000003</v>
      </c>
      <c r="K525">
        <v>0</v>
      </c>
    </row>
    <row r="526" spans="1:11" x14ac:dyDescent="0.3">
      <c r="A526" s="24">
        <v>0.36466435185185181</v>
      </c>
      <c r="C526">
        <v>989.49</v>
      </c>
      <c r="E526">
        <v>47.86</v>
      </c>
      <c r="G526">
        <v>7.02</v>
      </c>
      <c r="I526">
        <v>36.97</v>
      </c>
      <c r="K526">
        <v>0</v>
      </c>
    </row>
    <row r="527" spans="1:11" x14ac:dyDescent="0.3">
      <c r="A527" s="24">
        <v>0.36535879629629631</v>
      </c>
      <c r="C527">
        <v>986.36</v>
      </c>
      <c r="E527">
        <v>47.35</v>
      </c>
      <c r="G527">
        <v>7.03</v>
      </c>
      <c r="I527">
        <v>36.94</v>
      </c>
      <c r="K527">
        <v>0</v>
      </c>
    </row>
    <row r="528" spans="1:11" x14ac:dyDescent="0.3">
      <c r="A528" s="24">
        <v>0.36606481481481484</v>
      </c>
      <c r="C528">
        <v>985.5</v>
      </c>
      <c r="E528">
        <v>48.42</v>
      </c>
      <c r="G528">
        <v>7.04</v>
      </c>
      <c r="I528">
        <v>36.909999999999997</v>
      </c>
      <c r="K528">
        <v>0</v>
      </c>
    </row>
    <row r="529" spans="1:11" x14ac:dyDescent="0.3">
      <c r="A529" s="24">
        <v>0.36675925925925923</v>
      </c>
      <c r="C529">
        <v>982.13</v>
      </c>
      <c r="E529">
        <v>50.84</v>
      </c>
      <c r="G529">
        <v>7.04</v>
      </c>
      <c r="I529">
        <v>36.82</v>
      </c>
      <c r="K529">
        <v>0</v>
      </c>
    </row>
    <row r="530" spans="1:11" x14ac:dyDescent="0.3">
      <c r="A530" s="24">
        <v>0.36743055555555554</v>
      </c>
      <c r="C530">
        <v>979.68</v>
      </c>
      <c r="E530">
        <v>51.84</v>
      </c>
      <c r="G530">
        <v>7.05</v>
      </c>
      <c r="I530">
        <v>36.9</v>
      </c>
      <c r="K530">
        <v>0</v>
      </c>
    </row>
    <row r="531" spans="1:11" x14ac:dyDescent="0.3">
      <c r="A531" s="24">
        <v>0.36812500000000004</v>
      </c>
      <c r="C531">
        <v>975.06</v>
      </c>
      <c r="E531">
        <v>52.59</v>
      </c>
      <c r="G531">
        <v>7.05</v>
      </c>
      <c r="I531">
        <v>36.85</v>
      </c>
      <c r="K531">
        <v>0</v>
      </c>
    </row>
    <row r="532" spans="1:11" x14ac:dyDescent="0.3">
      <c r="A532" s="24">
        <v>0.36881944444444442</v>
      </c>
      <c r="C532">
        <v>971.46</v>
      </c>
      <c r="E532">
        <v>53.25</v>
      </c>
      <c r="G532">
        <v>7.06</v>
      </c>
      <c r="I532">
        <v>36.950000000000003</v>
      </c>
      <c r="K532">
        <v>0</v>
      </c>
    </row>
    <row r="533" spans="1:11" x14ac:dyDescent="0.3">
      <c r="A533" s="24">
        <v>0.36951388888888892</v>
      </c>
      <c r="C533">
        <v>965.91</v>
      </c>
      <c r="E533">
        <v>55.08</v>
      </c>
      <c r="G533">
        <v>7.06</v>
      </c>
      <c r="I533">
        <v>36.99</v>
      </c>
      <c r="K533">
        <v>0</v>
      </c>
    </row>
    <row r="534" spans="1:11" x14ac:dyDescent="0.3">
      <c r="A534" s="24">
        <v>0.37020833333333331</v>
      </c>
      <c r="C534">
        <v>959.93</v>
      </c>
      <c r="E534">
        <v>57.66</v>
      </c>
      <c r="G534">
        <v>7.06</v>
      </c>
      <c r="I534">
        <v>36.950000000000003</v>
      </c>
      <c r="K534">
        <v>0</v>
      </c>
    </row>
    <row r="535" spans="1:11" x14ac:dyDescent="0.3">
      <c r="A535" s="24">
        <v>0.3709027777777778</v>
      </c>
      <c r="C535">
        <v>953.48</v>
      </c>
      <c r="E535">
        <v>61.78</v>
      </c>
      <c r="G535">
        <v>7.07</v>
      </c>
      <c r="I535">
        <v>36.840000000000003</v>
      </c>
      <c r="K535">
        <v>0</v>
      </c>
    </row>
    <row r="536" spans="1:11" x14ac:dyDescent="0.3">
      <c r="A536" s="24">
        <v>0.37159722222222219</v>
      </c>
      <c r="C536">
        <v>949.78</v>
      </c>
      <c r="E536">
        <v>60.32</v>
      </c>
      <c r="G536">
        <v>7.11</v>
      </c>
      <c r="I536">
        <v>36.89</v>
      </c>
      <c r="K536">
        <v>0</v>
      </c>
    </row>
    <row r="537" spans="1:11" x14ac:dyDescent="0.3">
      <c r="A537" s="24">
        <v>0.37230324074074073</v>
      </c>
      <c r="C537">
        <v>935.36</v>
      </c>
      <c r="E537">
        <v>78.7</v>
      </c>
      <c r="G537">
        <v>7.18</v>
      </c>
      <c r="I537">
        <v>36.81</v>
      </c>
      <c r="K537">
        <v>0</v>
      </c>
    </row>
    <row r="538" spans="1:11" x14ac:dyDescent="0.3">
      <c r="A538" s="24">
        <v>0.37299768518518522</v>
      </c>
      <c r="C538">
        <v>919.67</v>
      </c>
      <c r="E538">
        <v>71.37</v>
      </c>
      <c r="G538">
        <v>7.22</v>
      </c>
      <c r="I538">
        <v>36.799999999999997</v>
      </c>
      <c r="K538">
        <v>0</v>
      </c>
    </row>
    <row r="539" spans="1:11" x14ac:dyDescent="0.3">
      <c r="A539" s="24">
        <v>0.37369212962962961</v>
      </c>
      <c r="C539">
        <v>905.54</v>
      </c>
      <c r="E539">
        <v>79.83</v>
      </c>
      <c r="G539">
        <v>7.25</v>
      </c>
      <c r="I539">
        <v>36.79</v>
      </c>
      <c r="K539">
        <v>0</v>
      </c>
    </row>
    <row r="540" spans="1:11" x14ac:dyDescent="0.3">
      <c r="A540" s="24">
        <v>0.37438657407407411</v>
      </c>
      <c r="C540">
        <v>899.94</v>
      </c>
      <c r="E540">
        <v>66.540000000000006</v>
      </c>
      <c r="G540">
        <v>7.28</v>
      </c>
      <c r="I540">
        <v>36.81</v>
      </c>
      <c r="K540">
        <v>0</v>
      </c>
    </row>
    <row r="541" spans="1:11" x14ac:dyDescent="0.3">
      <c r="A541" s="24">
        <v>0.37508101851851849</v>
      </c>
      <c r="C541">
        <v>889.97</v>
      </c>
      <c r="E541">
        <v>70.06</v>
      </c>
      <c r="G541">
        <v>7.31</v>
      </c>
      <c r="I541">
        <v>36.83</v>
      </c>
      <c r="K541">
        <v>0</v>
      </c>
    </row>
    <row r="542" spans="1:11" x14ac:dyDescent="0.3">
      <c r="A542" s="24">
        <v>0.37577546296296299</v>
      </c>
      <c r="C542">
        <v>878.07</v>
      </c>
      <c r="E542">
        <v>72.040000000000006</v>
      </c>
      <c r="G542">
        <v>7.34</v>
      </c>
      <c r="I542">
        <v>36.840000000000003</v>
      </c>
      <c r="K542">
        <v>0</v>
      </c>
    </row>
    <row r="543" spans="1:11" x14ac:dyDescent="0.3">
      <c r="A543" s="24">
        <v>0.37646990740740738</v>
      </c>
      <c r="C543">
        <v>867.97</v>
      </c>
      <c r="E543">
        <v>72.69</v>
      </c>
      <c r="G543">
        <v>7.37</v>
      </c>
      <c r="I543">
        <v>36.82</v>
      </c>
      <c r="K543">
        <v>0</v>
      </c>
    </row>
    <row r="544" spans="1:11" x14ac:dyDescent="0.3">
      <c r="A544" s="24">
        <v>0.37716435185185188</v>
      </c>
      <c r="C544">
        <v>854.42</v>
      </c>
      <c r="E544">
        <v>72.680000000000007</v>
      </c>
      <c r="G544">
        <v>7.39</v>
      </c>
      <c r="I544">
        <v>36.83</v>
      </c>
      <c r="K544">
        <v>0</v>
      </c>
    </row>
    <row r="545" spans="1:11" x14ac:dyDescent="0.3">
      <c r="A545" s="24">
        <v>0.37787037037037036</v>
      </c>
      <c r="C545">
        <v>844.95</v>
      </c>
      <c r="E545">
        <v>72.45</v>
      </c>
      <c r="G545">
        <v>7.41</v>
      </c>
      <c r="I545">
        <v>36.799999999999997</v>
      </c>
      <c r="K545">
        <v>0</v>
      </c>
    </row>
    <row r="546" spans="1:11" x14ac:dyDescent="0.3">
      <c r="A546" s="24">
        <v>0.3785648148148148</v>
      </c>
      <c r="C546">
        <v>832.04</v>
      </c>
      <c r="E546">
        <v>70.95</v>
      </c>
      <c r="G546">
        <v>7.43</v>
      </c>
      <c r="I546">
        <v>36.92</v>
      </c>
      <c r="K546">
        <v>0</v>
      </c>
    </row>
    <row r="547" spans="1:11" x14ac:dyDescent="0.3">
      <c r="A547" s="24">
        <v>0.37923611111111111</v>
      </c>
      <c r="C547">
        <v>821.71</v>
      </c>
      <c r="E547">
        <v>70.89</v>
      </c>
      <c r="G547">
        <v>7.45</v>
      </c>
      <c r="I547">
        <v>36.83</v>
      </c>
      <c r="K547">
        <v>0</v>
      </c>
    </row>
    <row r="548" spans="1:11" x14ac:dyDescent="0.3">
      <c r="A548" s="24">
        <v>0.3799305555555556</v>
      </c>
      <c r="C548">
        <v>808.13</v>
      </c>
      <c r="E548">
        <v>67.989999999999995</v>
      </c>
      <c r="G548">
        <v>7.47</v>
      </c>
      <c r="I548">
        <v>36.85</v>
      </c>
      <c r="K548">
        <v>0</v>
      </c>
    </row>
    <row r="549" spans="1:11" x14ac:dyDescent="0.3">
      <c r="A549" s="24">
        <v>0.38062499999999999</v>
      </c>
      <c r="C549">
        <v>799.39</v>
      </c>
      <c r="E549">
        <v>64.069999999999993</v>
      </c>
      <c r="G549">
        <v>7.49</v>
      </c>
      <c r="I549">
        <v>36.83</v>
      </c>
      <c r="K549">
        <v>0</v>
      </c>
    </row>
    <row r="550" spans="1:11" x14ac:dyDescent="0.3">
      <c r="A550" s="24">
        <v>0.38131944444444449</v>
      </c>
      <c r="C550">
        <v>791.34</v>
      </c>
      <c r="E550">
        <v>59.98</v>
      </c>
      <c r="G550">
        <v>7.5</v>
      </c>
      <c r="I550">
        <v>36.92</v>
      </c>
      <c r="K550">
        <v>0</v>
      </c>
    </row>
    <row r="551" spans="1:11" x14ac:dyDescent="0.3">
      <c r="A551" s="24">
        <v>0.38201388888888888</v>
      </c>
      <c r="C551">
        <v>785.62</v>
      </c>
      <c r="E551">
        <v>59.2</v>
      </c>
      <c r="G551">
        <v>7.52</v>
      </c>
      <c r="I551">
        <v>36.840000000000003</v>
      </c>
      <c r="K551">
        <v>0</v>
      </c>
    </row>
    <row r="552" spans="1:11" x14ac:dyDescent="0.3">
      <c r="A552" s="24">
        <v>0.38270833333333337</v>
      </c>
      <c r="C552">
        <v>778.19</v>
      </c>
      <c r="E552">
        <v>54.51</v>
      </c>
      <c r="G552">
        <v>7.53</v>
      </c>
      <c r="I552">
        <v>36.89</v>
      </c>
      <c r="K552">
        <v>0</v>
      </c>
    </row>
    <row r="553" spans="1:11" x14ac:dyDescent="0.3">
      <c r="A553" s="24">
        <v>0.38340277777777776</v>
      </c>
      <c r="C553">
        <v>773.2</v>
      </c>
      <c r="E553">
        <v>54.94</v>
      </c>
      <c r="G553">
        <v>7.55</v>
      </c>
      <c r="I553">
        <v>36.909999999999997</v>
      </c>
      <c r="K553">
        <v>0</v>
      </c>
    </row>
    <row r="554" spans="1:11" x14ac:dyDescent="0.3">
      <c r="A554" s="24">
        <v>0.3841087962962963</v>
      </c>
      <c r="C554">
        <v>766.21</v>
      </c>
      <c r="E554">
        <v>50.17</v>
      </c>
      <c r="G554">
        <v>7.57</v>
      </c>
      <c r="I554">
        <v>36.93</v>
      </c>
      <c r="K554">
        <v>0</v>
      </c>
    </row>
    <row r="555" spans="1:11" x14ac:dyDescent="0.3">
      <c r="A555" s="24">
        <v>0.38480324074074074</v>
      </c>
      <c r="C555">
        <v>761.31</v>
      </c>
      <c r="E555">
        <v>50.23</v>
      </c>
      <c r="G555">
        <v>7.58</v>
      </c>
      <c r="I555">
        <v>36.950000000000003</v>
      </c>
      <c r="K555">
        <v>0</v>
      </c>
    </row>
    <row r="556" spans="1:11" x14ac:dyDescent="0.3">
      <c r="A556" s="24">
        <v>0.38549768518518518</v>
      </c>
      <c r="C556">
        <v>758.78</v>
      </c>
      <c r="E556">
        <v>47.83</v>
      </c>
      <c r="G556">
        <v>7.59</v>
      </c>
      <c r="I556">
        <v>36.94</v>
      </c>
      <c r="K556">
        <v>0</v>
      </c>
    </row>
    <row r="557" spans="1:11" x14ac:dyDescent="0.3">
      <c r="A557" s="24">
        <v>0.38619212962962962</v>
      </c>
      <c r="C557">
        <v>754.73</v>
      </c>
      <c r="E557">
        <v>48.25</v>
      </c>
      <c r="G557">
        <v>7.61</v>
      </c>
      <c r="I557">
        <v>36.94</v>
      </c>
      <c r="K557">
        <v>0</v>
      </c>
    </row>
    <row r="558" spans="1:11" x14ac:dyDescent="0.3">
      <c r="A558" s="24">
        <v>0.38688657407407406</v>
      </c>
      <c r="C558">
        <v>752.77</v>
      </c>
      <c r="E558">
        <v>45.45</v>
      </c>
      <c r="G558">
        <v>7.62</v>
      </c>
      <c r="I558">
        <v>36.96</v>
      </c>
      <c r="K558">
        <v>0</v>
      </c>
    </row>
    <row r="559" spans="1:11" x14ac:dyDescent="0.3">
      <c r="A559" s="24">
        <v>0.38758101851851851</v>
      </c>
      <c r="C559">
        <v>748.86</v>
      </c>
      <c r="E559">
        <v>45.59</v>
      </c>
      <c r="G559">
        <v>7.63</v>
      </c>
      <c r="I559">
        <v>36.96</v>
      </c>
      <c r="K559">
        <v>0</v>
      </c>
    </row>
    <row r="560" spans="1:11" x14ac:dyDescent="0.3">
      <c r="A560" s="24">
        <v>0.38827546296296295</v>
      </c>
      <c r="C560">
        <v>747.94</v>
      </c>
      <c r="E560">
        <v>44.21</v>
      </c>
      <c r="G560">
        <v>7.64</v>
      </c>
      <c r="I560">
        <v>37.020000000000003</v>
      </c>
      <c r="K560">
        <v>0</v>
      </c>
    </row>
    <row r="561" spans="1:11" x14ac:dyDescent="0.3">
      <c r="A561" s="24">
        <v>0.38896990740740739</v>
      </c>
      <c r="C561">
        <v>745.66</v>
      </c>
      <c r="E561">
        <v>44.77</v>
      </c>
      <c r="G561">
        <v>7.66</v>
      </c>
      <c r="I561">
        <v>36.97</v>
      </c>
      <c r="K561">
        <v>0</v>
      </c>
    </row>
    <row r="562" spans="1:11" x14ac:dyDescent="0.3">
      <c r="A562" s="24">
        <v>0.38966435185185189</v>
      </c>
      <c r="C562">
        <v>743.67</v>
      </c>
      <c r="E562">
        <v>43.66</v>
      </c>
      <c r="G562">
        <v>7.67</v>
      </c>
      <c r="I562">
        <v>36.979999999999997</v>
      </c>
      <c r="K562">
        <v>0</v>
      </c>
    </row>
    <row r="563" spans="1:11" x14ac:dyDescent="0.3">
      <c r="A563" s="24">
        <v>0.39037037037037042</v>
      </c>
      <c r="C563">
        <v>741.66</v>
      </c>
      <c r="E563">
        <v>43.46</v>
      </c>
      <c r="G563">
        <v>7.68</v>
      </c>
      <c r="I563">
        <v>37.04</v>
      </c>
      <c r="K563">
        <v>0</v>
      </c>
    </row>
    <row r="564" spans="1:11" x14ac:dyDescent="0.3">
      <c r="A564" s="24">
        <v>0.39104166666666668</v>
      </c>
      <c r="C564">
        <v>740.62</v>
      </c>
      <c r="E564">
        <v>44.03</v>
      </c>
      <c r="G564">
        <v>7.69</v>
      </c>
      <c r="I564">
        <v>36.97</v>
      </c>
      <c r="K564">
        <v>0</v>
      </c>
    </row>
    <row r="565" spans="1:11" x14ac:dyDescent="0.3">
      <c r="A565" s="24">
        <v>0.39173611111111112</v>
      </c>
      <c r="C565">
        <v>737.39</v>
      </c>
      <c r="E565">
        <v>44.62</v>
      </c>
      <c r="G565">
        <v>7.71</v>
      </c>
      <c r="I565">
        <v>36.89</v>
      </c>
      <c r="K565">
        <v>0</v>
      </c>
    </row>
    <row r="566" spans="1:11" x14ac:dyDescent="0.3">
      <c r="A566" s="24">
        <v>0.39243055555555556</v>
      </c>
      <c r="C566">
        <v>736.09</v>
      </c>
      <c r="E566">
        <v>47</v>
      </c>
      <c r="G566">
        <v>7.72</v>
      </c>
      <c r="I566">
        <v>36.99</v>
      </c>
      <c r="K566">
        <v>0</v>
      </c>
    </row>
    <row r="567" spans="1:11" x14ac:dyDescent="0.3">
      <c r="A567" s="24">
        <v>0.393125</v>
      </c>
      <c r="C567">
        <v>732.25</v>
      </c>
      <c r="E567">
        <v>46.68</v>
      </c>
      <c r="G567">
        <v>7.73</v>
      </c>
      <c r="I567">
        <v>37</v>
      </c>
      <c r="K567">
        <v>0</v>
      </c>
    </row>
    <row r="568" spans="1:11" x14ac:dyDescent="0.3">
      <c r="A568" s="24">
        <v>0.39381944444444444</v>
      </c>
      <c r="C568">
        <v>727.36</v>
      </c>
      <c r="E568">
        <v>49.85</v>
      </c>
      <c r="G568">
        <v>7.74</v>
      </c>
      <c r="I568">
        <v>36.92</v>
      </c>
      <c r="K568">
        <v>0</v>
      </c>
    </row>
    <row r="569" spans="1:11" x14ac:dyDescent="0.3">
      <c r="A569" s="24">
        <v>0.39451388888888889</v>
      </c>
      <c r="C569">
        <v>722.18</v>
      </c>
      <c r="E569">
        <v>52.87</v>
      </c>
      <c r="G569">
        <v>7.76</v>
      </c>
      <c r="I569">
        <v>36.869999999999997</v>
      </c>
      <c r="K569">
        <v>0</v>
      </c>
    </row>
    <row r="570" spans="1:11" x14ac:dyDescent="0.3">
      <c r="A570" s="24">
        <v>0.39520833333333333</v>
      </c>
      <c r="C570">
        <v>714.93</v>
      </c>
      <c r="E570">
        <v>59.99</v>
      </c>
      <c r="G570">
        <v>7.77</v>
      </c>
      <c r="I570">
        <v>36.99</v>
      </c>
      <c r="K570">
        <v>0</v>
      </c>
    </row>
    <row r="571" spans="1:11" x14ac:dyDescent="0.3">
      <c r="A571" s="24">
        <v>0.39591435185185181</v>
      </c>
      <c r="C571">
        <v>699.31</v>
      </c>
      <c r="E571">
        <v>65.040000000000006</v>
      </c>
      <c r="G571">
        <v>7.78</v>
      </c>
      <c r="I571">
        <v>36.9</v>
      </c>
      <c r="K571">
        <v>0</v>
      </c>
    </row>
    <row r="572" spans="1:11" x14ac:dyDescent="0.3">
      <c r="A572" s="24">
        <v>0.39660879629629631</v>
      </c>
      <c r="C572">
        <v>684.83</v>
      </c>
      <c r="E572">
        <v>72</v>
      </c>
      <c r="G572">
        <v>7.79</v>
      </c>
      <c r="I572">
        <v>36.840000000000003</v>
      </c>
      <c r="K572">
        <v>0</v>
      </c>
    </row>
    <row r="573" spans="1:11" x14ac:dyDescent="0.3">
      <c r="A573" s="24">
        <v>0.39730324074074069</v>
      </c>
      <c r="C573">
        <v>669.49</v>
      </c>
      <c r="E573">
        <v>72.48</v>
      </c>
      <c r="G573">
        <v>7.8</v>
      </c>
      <c r="I573">
        <v>36.89</v>
      </c>
      <c r="K573">
        <v>0</v>
      </c>
    </row>
    <row r="574" spans="1:11" x14ac:dyDescent="0.3">
      <c r="A574" s="24">
        <v>0.39799768518518519</v>
      </c>
      <c r="C574">
        <v>649.52</v>
      </c>
      <c r="E574">
        <v>76.41</v>
      </c>
      <c r="G574">
        <v>7.81</v>
      </c>
      <c r="I574">
        <v>36.86</v>
      </c>
      <c r="K574">
        <v>0</v>
      </c>
    </row>
    <row r="575" spans="1:11" x14ac:dyDescent="0.3">
      <c r="A575" s="24">
        <v>0.39869212962962958</v>
      </c>
      <c r="C575">
        <v>631.58000000000004</v>
      </c>
      <c r="E575">
        <v>75.290000000000006</v>
      </c>
      <c r="G575">
        <v>7.82</v>
      </c>
      <c r="I575">
        <v>36.83</v>
      </c>
      <c r="K575">
        <v>0</v>
      </c>
    </row>
    <row r="576" spans="1:11" x14ac:dyDescent="0.3">
      <c r="A576" s="24">
        <v>0.39938657407407407</v>
      </c>
      <c r="C576">
        <v>608.92999999999995</v>
      </c>
      <c r="E576">
        <v>76.760000000000005</v>
      </c>
      <c r="G576">
        <v>7.83</v>
      </c>
      <c r="I576">
        <v>36.770000000000003</v>
      </c>
      <c r="K576">
        <v>0</v>
      </c>
    </row>
    <row r="577" spans="1:11" x14ac:dyDescent="0.3">
      <c r="A577" s="24">
        <v>0.40008101851851857</v>
      </c>
      <c r="C577">
        <v>590.20000000000005</v>
      </c>
      <c r="E577">
        <v>73.87</v>
      </c>
      <c r="G577">
        <v>7.84</v>
      </c>
      <c r="I577">
        <v>36.79</v>
      </c>
      <c r="K577">
        <v>0</v>
      </c>
    </row>
    <row r="578" spans="1:11" x14ac:dyDescent="0.3">
      <c r="A578" s="24">
        <v>0.40077546296296296</v>
      </c>
      <c r="C578">
        <v>567.15</v>
      </c>
      <c r="E578">
        <v>72.680000000000007</v>
      </c>
      <c r="G578">
        <v>7.85</v>
      </c>
      <c r="I578">
        <v>36.79</v>
      </c>
      <c r="K578">
        <v>0</v>
      </c>
    </row>
    <row r="579" spans="1:11" x14ac:dyDescent="0.3">
      <c r="A579" s="24">
        <v>0.40146990740740746</v>
      </c>
      <c r="C579">
        <v>548.08000000000004</v>
      </c>
      <c r="E579">
        <v>67.91</v>
      </c>
      <c r="G579">
        <v>7.86</v>
      </c>
      <c r="I579">
        <v>36.75</v>
      </c>
      <c r="K579">
        <v>0</v>
      </c>
    </row>
    <row r="580" spans="1:11" x14ac:dyDescent="0.3">
      <c r="A580" s="24">
        <v>0.40217592592592594</v>
      </c>
      <c r="C580">
        <v>529.75</v>
      </c>
      <c r="E580">
        <v>66.31</v>
      </c>
      <c r="G580">
        <v>7.87</v>
      </c>
      <c r="I580">
        <v>36.76</v>
      </c>
      <c r="K580">
        <v>0</v>
      </c>
    </row>
    <row r="581" spans="1:11" x14ac:dyDescent="0.3">
      <c r="A581" s="24">
        <v>0.40284722222222219</v>
      </c>
      <c r="C581">
        <v>513.98</v>
      </c>
      <c r="E581">
        <v>60.82</v>
      </c>
      <c r="G581">
        <v>7.87</v>
      </c>
      <c r="I581">
        <v>36.72</v>
      </c>
      <c r="K581">
        <v>0</v>
      </c>
    </row>
    <row r="582" spans="1:11" x14ac:dyDescent="0.3">
      <c r="A582" s="24">
        <v>0.40354166666666669</v>
      </c>
      <c r="C582">
        <v>499.6</v>
      </c>
      <c r="E582">
        <v>58.41</v>
      </c>
      <c r="G582">
        <v>7.88</v>
      </c>
      <c r="I582">
        <v>36.78</v>
      </c>
      <c r="K582">
        <v>0</v>
      </c>
    </row>
    <row r="583" spans="1:11" x14ac:dyDescent="0.3">
      <c r="A583" s="24">
        <v>0.40423611111111107</v>
      </c>
      <c r="C583">
        <v>488.51</v>
      </c>
      <c r="E583">
        <v>52.58</v>
      </c>
      <c r="G583">
        <v>7.88</v>
      </c>
      <c r="I583">
        <v>36.83</v>
      </c>
      <c r="K583">
        <v>0</v>
      </c>
    </row>
    <row r="584" spans="1:11" x14ac:dyDescent="0.3">
      <c r="A584" s="24">
        <v>0.40493055555555557</v>
      </c>
      <c r="C584">
        <v>479.08</v>
      </c>
      <c r="E584">
        <v>49.31</v>
      </c>
      <c r="G584">
        <v>7.89</v>
      </c>
      <c r="I584">
        <v>36.74</v>
      </c>
      <c r="K584">
        <v>0</v>
      </c>
    </row>
    <row r="585" spans="1:11" x14ac:dyDescent="0.3">
      <c r="A585" s="24">
        <v>0.40562499999999996</v>
      </c>
      <c r="C585">
        <v>474.62</v>
      </c>
      <c r="E585">
        <v>46.18</v>
      </c>
      <c r="G585">
        <v>7.89</v>
      </c>
      <c r="I585">
        <v>36.729999999999997</v>
      </c>
      <c r="K585">
        <v>0</v>
      </c>
    </row>
    <row r="586" spans="1:11" x14ac:dyDescent="0.3">
      <c r="A586" s="24">
        <v>0.40631944444444446</v>
      </c>
      <c r="C586">
        <v>469.82</v>
      </c>
      <c r="E586">
        <v>44.43</v>
      </c>
      <c r="G586">
        <v>7.89</v>
      </c>
      <c r="I586">
        <v>36.75</v>
      </c>
      <c r="K586">
        <v>0</v>
      </c>
    </row>
    <row r="587" spans="1:11" x14ac:dyDescent="0.3">
      <c r="A587" s="24">
        <v>0.40701388888888884</v>
      </c>
      <c r="C587">
        <v>468.24</v>
      </c>
      <c r="E587">
        <v>42.91</v>
      </c>
      <c r="G587">
        <v>7.9</v>
      </c>
      <c r="I587">
        <v>36.72</v>
      </c>
      <c r="K587">
        <v>0</v>
      </c>
    </row>
    <row r="588" spans="1:11" x14ac:dyDescent="0.3">
      <c r="A588" s="24">
        <v>0.40770833333333334</v>
      </c>
      <c r="C588">
        <v>464.76</v>
      </c>
      <c r="E588">
        <v>42.46</v>
      </c>
      <c r="G588">
        <v>7.9</v>
      </c>
      <c r="I588">
        <v>36.79</v>
      </c>
      <c r="K588">
        <v>0</v>
      </c>
    </row>
    <row r="589" spans="1:11" x14ac:dyDescent="0.3">
      <c r="A589" s="24">
        <v>0.40841435185185188</v>
      </c>
      <c r="C589">
        <v>463.55</v>
      </c>
      <c r="E589">
        <v>42.55</v>
      </c>
      <c r="G589">
        <v>7.9</v>
      </c>
      <c r="I589">
        <v>36.799999999999997</v>
      </c>
      <c r="K589">
        <v>0</v>
      </c>
    </row>
    <row r="590" spans="1:11" x14ac:dyDescent="0.3">
      <c r="A590" s="24">
        <v>0.40910879629629626</v>
      </c>
      <c r="C590">
        <v>460.08</v>
      </c>
      <c r="E590">
        <v>42.99</v>
      </c>
      <c r="G590">
        <v>7.91</v>
      </c>
      <c r="I590">
        <v>36.799999999999997</v>
      </c>
      <c r="K590">
        <v>0</v>
      </c>
    </row>
    <row r="591" spans="1:11" x14ac:dyDescent="0.3">
      <c r="A591" s="24">
        <v>0.40980324074074076</v>
      </c>
      <c r="C591">
        <v>457.69</v>
      </c>
      <c r="E591">
        <v>43.04</v>
      </c>
      <c r="G591">
        <v>7.91</v>
      </c>
      <c r="I591">
        <v>36.799999999999997</v>
      </c>
      <c r="K591">
        <v>0</v>
      </c>
    </row>
    <row r="592" spans="1:11" x14ac:dyDescent="0.3">
      <c r="A592" s="24">
        <v>0.4104976851851852</v>
      </c>
      <c r="C592">
        <v>455.32</v>
      </c>
      <c r="E592">
        <v>42.33</v>
      </c>
      <c r="G592">
        <v>7.91</v>
      </c>
      <c r="I592">
        <v>36.86</v>
      </c>
      <c r="K592">
        <v>0</v>
      </c>
    </row>
    <row r="593" spans="1:11" x14ac:dyDescent="0.3">
      <c r="A593" s="24">
        <v>0.41119212962962964</v>
      </c>
      <c r="C593">
        <v>453.3</v>
      </c>
      <c r="E593">
        <v>43.31</v>
      </c>
      <c r="G593">
        <v>7.92</v>
      </c>
      <c r="I593">
        <v>36.76</v>
      </c>
      <c r="K593">
        <v>0</v>
      </c>
    </row>
    <row r="594" spans="1:11" x14ac:dyDescent="0.3">
      <c r="A594" s="24">
        <v>0.41188657407407409</v>
      </c>
      <c r="C594">
        <v>449.87</v>
      </c>
      <c r="E594">
        <v>42.7</v>
      </c>
      <c r="G594">
        <v>7.92</v>
      </c>
      <c r="I594">
        <v>36.799999999999997</v>
      </c>
      <c r="K594">
        <v>0</v>
      </c>
    </row>
    <row r="595" spans="1:11" x14ac:dyDescent="0.3">
      <c r="A595" s="24">
        <v>0.41258101851851853</v>
      </c>
      <c r="C595">
        <v>446.14</v>
      </c>
      <c r="E595">
        <v>44.11</v>
      </c>
      <c r="G595">
        <v>7.92</v>
      </c>
      <c r="I595">
        <v>36.78</v>
      </c>
      <c r="K595">
        <v>0</v>
      </c>
    </row>
    <row r="596" spans="1:11" x14ac:dyDescent="0.3">
      <c r="A596" s="24">
        <v>0.41327546296296297</v>
      </c>
      <c r="C596">
        <v>442.7</v>
      </c>
      <c r="E596">
        <v>42.48</v>
      </c>
      <c r="G596">
        <v>7.93</v>
      </c>
      <c r="I596">
        <v>36.840000000000003</v>
      </c>
      <c r="K596">
        <v>0</v>
      </c>
    </row>
    <row r="597" spans="1:11" x14ac:dyDescent="0.3">
      <c r="A597" s="24">
        <v>0.41398148148148151</v>
      </c>
      <c r="C597">
        <v>440.35</v>
      </c>
      <c r="E597">
        <v>43.33</v>
      </c>
      <c r="G597">
        <v>7.93</v>
      </c>
      <c r="I597">
        <v>36.840000000000003</v>
      </c>
      <c r="K597">
        <v>0</v>
      </c>
    </row>
    <row r="598" spans="1:11" x14ac:dyDescent="0.3">
      <c r="A598" s="24">
        <v>0.41467592592592589</v>
      </c>
      <c r="C598">
        <v>436.98</v>
      </c>
      <c r="E598">
        <v>41.98</v>
      </c>
      <c r="G598">
        <v>7.93</v>
      </c>
      <c r="I598">
        <v>36.83</v>
      </c>
      <c r="K598">
        <v>0</v>
      </c>
    </row>
    <row r="599" spans="1:11" x14ac:dyDescent="0.3">
      <c r="A599" s="24">
        <v>0.41534722222222226</v>
      </c>
      <c r="C599">
        <v>435.45</v>
      </c>
      <c r="E599">
        <v>42.22</v>
      </c>
      <c r="G599">
        <v>7.94</v>
      </c>
      <c r="I599">
        <v>36.880000000000003</v>
      </c>
      <c r="K599">
        <v>0</v>
      </c>
    </row>
    <row r="600" spans="1:11" x14ac:dyDescent="0.3">
      <c r="A600" s="24">
        <v>0.41604166666666664</v>
      </c>
      <c r="C600">
        <v>434.41</v>
      </c>
      <c r="E600">
        <v>42.14</v>
      </c>
      <c r="G600">
        <v>7.94</v>
      </c>
      <c r="I600">
        <v>36.909999999999997</v>
      </c>
      <c r="K600">
        <v>0</v>
      </c>
    </row>
    <row r="601" spans="1:11" x14ac:dyDescent="0.3">
      <c r="A601" s="24">
        <v>0.41673611111111114</v>
      </c>
      <c r="C601">
        <v>431.21</v>
      </c>
      <c r="E601">
        <v>42.75</v>
      </c>
      <c r="G601">
        <v>7.94</v>
      </c>
      <c r="I601">
        <v>36.840000000000003</v>
      </c>
      <c r="K601">
        <v>0</v>
      </c>
    </row>
    <row r="602" spans="1:11" x14ac:dyDescent="0.3">
      <c r="A602" s="24">
        <v>0.41743055555555553</v>
      </c>
      <c r="C602">
        <v>428.07</v>
      </c>
      <c r="E602">
        <v>41.62</v>
      </c>
      <c r="G602">
        <v>7.95</v>
      </c>
      <c r="I602">
        <v>36.92</v>
      </c>
      <c r="K602">
        <v>0</v>
      </c>
    </row>
    <row r="603" spans="1:11" x14ac:dyDescent="0.3">
      <c r="A603" s="24">
        <v>0.41812500000000002</v>
      </c>
      <c r="C603">
        <v>428.28</v>
      </c>
      <c r="E603">
        <v>41.98</v>
      </c>
      <c r="G603">
        <v>7.95</v>
      </c>
      <c r="I603">
        <v>36.880000000000003</v>
      </c>
      <c r="K603">
        <v>0</v>
      </c>
    </row>
    <row r="604" spans="1:11" x14ac:dyDescent="0.3">
      <c r="A604" s="24">
        <v>0.41881944444444441</v>
      </c>
      <c r="C604">
        <v>425.98</v>
      </c>
      <c r="E604">
        <v>41.56</v>
      </c>
      <c r="G604">
        <v>7.95</v>
      </c>
      <c r="I604">
        <v>36.92</v>
      </c>
      <c r="K604">
        <v>0</v>
      </c>
    </row>
    <row r="605" spans="1:11" x14ac:dyDescent="0.3">
      <c r="A605" s="24">
        <v>0.41951388888888891</v>
      </c>
      <c r="C605">
        <v>423.81</v>
      </c>
      <c r="E605">
        <v>42.66</v>
      </c>
      <c r="G605">
        <v>7.95</v>
      </c>
      <c r="I605">
        <v>36.880000000000003</v>
      </c>
      <c r="K605">
        <v>0</v>
      </c>
    </row>
    <row r="606" spans="1:11" x14ac:dyDescent="0.3">
      <c r="A606" s="24">
        <v>0.42021990740740739</v>
      </c>
      <c r="C606">
        <v>421.65</v>
      </c>
      <c r="E606">
        <v>41.73</v>
      </c>
      <c r="G606">
        <v>7.96</v>
      </c>
      <c r="I606">
        <v>36.94</v>
      </c>
      <c r="K606">
        <v>0</v>
      </c>
    </row>
    <row r="607" spans="1:11" x14ac:dyDescent="0.3">
      <c r="A607" s="24">
        <v>0.42091435185185189</v>
      </c>
      <c r="C607">
        <v>419.71</v>
      </c>
      <c r="E607">
        <v>42.18</v>
      </c>
      <c r="G607">
        <v>7.96</v>
      </c>
      <c r="I607">
        <v>36.9</v>
      </c>
      <c r="K607">
        <v>0</v>
      </c>
    </row>
    <row r="608" spans="1:11" x14ac:dyDescent="0.3">
      <c r="A608" s="24">
        <v>0.42160879629629627</v>
      </c>
      <c r="C608">
        <v>417.54</v>
      </c>
      <c r="E608">
        <v>41.22</v>
      </c>
      <c r="G608">
        <v>7.96</v>
      </c>
      <c r="I608">
        <v>36.96</v>
      </c>
      <c r="K608">
        <v>0</v>
      </c>
    </row>
    <row r="609" spans="1:11" x14ac:dyDescent="0.3">
      <c r="A609" s="24">
        <v>0.42230324074074077</v>
      </c>
      <c r="C609">
        <v>416.53</v>
      </c>
      <c r="E609">
        <v>41.6</v>
      </c>
      <c r="G609">
        <v>7.97</v>
      </c>
      <c r="I609">
        <v>36.950000000000003</v>
      </c>
      <c r="K609">
        <v>0</v>
      </c>
    </row>
    <row r="610" spans="1:11" x14ac:dyDescent="0.3">
      <c r="A610" s="24">
        <v>0.42299768518518516</v>
      </c>
      <c r="C610">
        <v>414.84</v>
      </c>
      <c r="E610">
        <v>40.93</v>
      </c>
      <c r="G610">
        <v>7.97</v>
      </c>
      <c r="I610">
        <v>36.93</v>
      </c>
      <c r="K610">
        <v>0</v>
      </c>
    </row>
    <row r="611" spans="1:11" x14ac:dyDescent="0.3">
      <c r="A611" s="24">
        <v>0.42369212962962965</v>
      </c>
      <c r="C611">
        <v>412.01</v>
      </c>
      <c r="E611">
        <v>41.89</v>
      </c>
      <c r="G611">
        <v>7.97</v>
      </c>
      <c r="I611">
        <v>36.94</v>
      </c>
      <c r="K611">
        <v>0</v>
      </c>
    </row>
    <row r="612" spans="1:11" x14ac:dyDescent="0.3">
      <c r="A612" s="24">
        <v>0.42438657407407404</v>
      </c>
      <c r="C612">
        <v>410.67</v>
      </c>
      <c r="E612">
        <v>41.82</v>
      </c>
      <c r="G612">
        <v>7.97</v>
      </c>
      <c r="I612">
        <v>36.950000000000003</v>
      </c>
      <c r="K612">
        <v>0</v>
      </c>
    </row>
    <row r="613" spans="1:11" x14ac:dyDescent="0.3">
      <c r="A613" s="24">
        <v>0.42508101851851854</v>
      </c>
      <c r="C613">
        <v>408.03</v>
      </c>
      <c r="E613">
        <v>41.81</v>
      </c>
      <c r="G613">
        <v>7.98</v>
      </c>
      <c r="I613">
        <v>36.950000000000003</v>
      </c>
      <c r="K613">
        <v>0</v>
      </c>
    </row>
    <row r="614" spans="1:11" x14ac:dyDescent="0.3">
      <c r="A614" s="24">
        <v>0.42578703703703707</v>
      </c>
      <c r="C614">
        <v>405.82</v>
      </c>
      <c r="E614">
        <v>42.14</v>
      </c>
      <c r="G614">
        <v>7.98</v>
      </c>
      <c r="I614">
        <v>36.94</v>
      </c>
      <c r="K614">
        <v>0</v>
      </c>
    </row>
    <row r="615" spans="1:11" x14ac:dyDescent="0.3">
      <c r="A615" s="24">
        <v>0.42648148148148146</v>
      </c>
      <c r="C615">
        <v>403.45</v>
      </c>
      <c r="E615">
        <v>41.34</v>
      </c>
      <c r="G615">
        <v>7.98</v>
      </c>
      <c r="I615">
        <v>36.97</v>
      </c>
      <c r="K615">
        <v>0</v>
      </c>
    </row>
    <row r="616" spans="1:11" x14ac:dyDescent="0.3">
      <c r="A616" s="24">
        <v>0.42715277777777777</v>
      </c>
      <c r="C616">
        <v>402.6</v>
      </c>
      <c r="E616">
        <v>41.75</v>
      </c>
      <c r="G616">
        <v>7.99</v>
      </c>
      <c r="I616">
        <v>36.94</v>
      </c>
      <c r="K616">
        <v>0</v>
      </c>
    </row>
    <row r="617" spans="1:11" x14ac:dyDescent="0.3">
      <c r="A617" s="24">
        <v>0.42784722222222221</v>
      </c>
      <c r="C617">
        <v>399.84</v>
      </c>
      <c r="E617">
        <v>41.45</v>
      </c>
      <c r="G617">
        <v>7.99</v>
      </c>
      <c r="I617">
        <v>36.909999999999997</v>
      </c>
      <c r="K617">
        <v>0</v>
      </c>
    </row>
    <row r="618" spans="1:11" x14ac:dyDescent="0.3">
      <c r="A618" s="24">
        <v>0.42854166666666665</v>
      </c>
      <c r="C618">
        <v>399.39</v>
      </c>
      <c r="E618">
        <v>41.18</v>
      </c>
      <c r="G618">
        <v>7.99</v>
      </c>
      <c r="I618">
        <v>36.99</v>
      </c>
      <c r="K618">
        <v>0</v>
      </c>
    </row>
    <row r="619" spans="1:11" x14ac:dyDescent="0.3">
      <c r="A619" s="24">
        <v>0.4292361111111111</v>
      </c>
      <c r="C619">
        <v>397.42</v>
      </c>
      <c r="E619">
        <v>41.21</v>
      </c>
      <c r="G619">
        <v>7.99</v>
      </c>
      <c r="I619">
        <v>36.94</v>
      </c>
      <c r="K619">
        <v>0</v>
      </c>
    </row>
    <row r="620" spans="1:11" x14ac:dyDescent="0.3">
      <c r="A620" s="24">
        <v>0.42993055555555554</v>
      </c>
      <c r="C620">
        <v>395.03</v>
      </c>
      <c r="E620">
        <v>41.63</v>
      </c>
      <c r="G620">
        <v>8</v>
      </c>
      <c r="I620">
        <v>36.92</v>
      </c>
      <c r="K620">
        <v>0</v>
      </c>
    </row>
    <row r="621" spans="1:11" x14ac:dyDescent="0.3">
      <c r="A621" s="24">
        <v>0.43062500000000004</v>
      </c>
      <c r="C621">
        <v>393.28</v>
      </c>
      <c r="E621">
        <v>40.98</v>
      </c>
      <c r="G621">
        <v>8</v>
      </c>
      <c r="I621">
        <v>36.950000000000003</v>
      </c>
      <c r="K621">
        <v>0</v>
      </c>
    </row>
    <row r="622" spans="1:11" x14ac:dyDescent="0.3">
      <c r="A622" s="24">
        <v>0.43131944444444442</v>
      </c>
      <c r="C622">
        <v>391.81</v>
      </c>
      <c r="E622">
        <v>41.66</v>
      </c>
      <c r="G622">
        <v>8</v>
      </c>
      <c r="I622">
        <v>36.9</v>
      </c>
      <c r="K622">
        <v>0</v>
      </c>
    </row>
    <row r="623" spans="1:11" x14ac:dyDescent="0.3">
      <c r="A623" s="24">
        <v>0.43202546296296296</v>
      </c>
      <c r="C623">
        <v>390.92</v>
      </c>
      <c r="E623">
        <v>40.5</v>
      </c>
      <c r="G623">
        <v>8</v>
      </c>
      <c r="I623">
        <v>36.99</v>
      </c>
      <c r="K623">
        <v>0</v>
      </c>
    </row>
    <row r="624" spans="1:11" x14ac:dyDescent="0.3">
      <c r="A624" s="24">
        <v>0.43271990740740746</v>
      </c>
      <c r="C624">
        <v>389.1</v>
      </c>
      <c r="E624">
        <v>41.11</v>
      </c>
      <c r="G624">
        <v>8.01</v>
      </c>
      <c r="I624">
        <v>36.909999999999997</v>
      </c>
      <c r="K624">
        <v>0</v>
      </c>
    </row>
    <row r="625" spans="1:11" x14ac:dyDescent="0.3">
      <c r="A625" s="24">
        <v>0.43341435185185184</v>
      </c>
      <c r="C625">
        <v>388.81</v>
      </c>
      <c r="E625">
        <v>40.82</v>
      </c>
      <c r="G625">
        <v>8.01</v>
      </c>
      <c r="I625">
        <v>36.880000000000003</v>
      </c>
      <c r="K625">
        <v>0</v>
      </c>
    </row>
    <row r="626" spans="1:11" x14ac:dyDescent="0.3">
      <c r="A626" s="24">
        <v>0.43410879629629634</v>
      </c>
      <c r="C626">
        <v>386.31</v>
      </c>
      <c r="E626">
        <v>41.82</v>
      </c>
      <c r="G626">
        <v>8.01</v>
      </c>
      <c r="I626">
        <v>36.909999999999997</v>
      </c>
      <c r="K626">
        <v>0</v>
      </c>
    </row>
    <row r="627" spans="1:11" x14ac:dyDescent="0.3">
      <c r="A627" s="24">
        <v>0.43480324074074073</v>
      </c>
      <c r="C627">
        <v>383.37</v>
      </c>
      <c r="E627">
        <v>41.85</v>
      </c>
      <c r="G627">
        <v>8.01</v>
      </c>
      <c r="I627">
        <v>36.880000000000003</v>
      </c>
      <c r="K627">
        <v>0</v>
      </c>
    </row>
    <row r="628" spans="1:11" x14ac:dyDescent="0.3">
      <c r="A628" s="24">
        <v>0.43549768518518522</v>
      </c>
      <c r="C628">
        <v>381.77</v>
      </c>
      <c r="E628">
        <v>40.98</v>
      </c>
      <c r="G628">
        <v>8.02</v>
      </c>
      <c r="I628">
        <v>36.94</v>
      </c>
      <c r="K628">
        <v>0</v>
      </c>
    </row>
    <row r="629" spans="1:11" x14ac:dyDescent="0.3">
      <c r="A629" s="24">
        <v>0.43619212962962961</v>
      </c>
      <c r="C629">
        <v>383.24</v>
      </c>
      <c r="E629">
        <v>38.44</v>
      </c>
      <c r="G629">
        <v>8.02</v>
      </c>
      <c r="I629">
        <v>36.97</v>
      </c>
      <c r="K629">
        <v>0</v>
      </c>
    </row>
    <row r="630" spans="1:11" x14ac:dyDescent="0.3">
      <c r="A630" s="24">
        <v>0.43688657407407411</v>
      </c>
      <c r="C630">
        <v>382.77</v>
      </c>
      <c r="E630">
        <v>40.82</v>
      </c>
      <c r="G630">
        <v>8.02</v>
      </c>
      <c r="I630">
        <v>36.94</v>
      </c>
      <c r="K630">
        <v>0</v>
      </c>
    </row>
    <row r="631" spans="1:11" x14ac:dyDescent="0.3">
      <c r="A631" s="24">
        <v>0.43758101851851849</v>
      </c>
      <c r="C631">
        <v>382.78</v>
      </c>
      <c r="E631">
        <v>41.78</v>
      </c>
      <c r="G631">
        <v>8.02</v>
      </c>
      <c r="I631">
        <v>36.94</v>
      </c>
      <c r="K631">
        <v>0</v>
      </c>
    </row>
    <row r="632" spans="1:11" x14ac:dyDescent="0.3">
      <c r="A632" s="24">
        <v>0.43828703703703703</v>
      </c>
      <c r="C632">
        <v>378.53</v>
      </c>
      <c r="E632">
        <v>41.72</v>
      </c>
      <c r="G632">
        <v>8.0299999999999994</v>
      </c>
      <c r="I632">
        <v>36.97</v>
      </c>
      <c r="K632">
        <v>0</v>
      </c>
    </row>
    <row r="633" spans="1:11" x14ac:dyDescent="0.3">
      <c r="A633" s="24">
        <v>0.43895833333333334</v>
      </c>
      <c r="C633">
        <v>378.3</v>
      </c>
      <c r="E633">
        <v>40.450000000000003</v>
      </c>
      <c r="G633">
        <v>8.0299999999999994</v>
      </c>
      <c r="I633">
        <v>36.96</v>
      </c>
      <c r="K633">
        <v>0</v>
      </c>
    </row>
    <row r="634" spans="1:11" x14ac:dyDescent="0.3">
      <c r="A634" s="24">
        <v>0.43965277777777773</v>
      </c>
      <c r="C634">
        <v>377.08</v>
      </c>
      <c r="E634">
        <v>40.79</v>
      </c>
      <c r="G634">
        <v>8.0299999999999994</v>
      </c>
      <c r="I634">
        <v>36.880000000000003</v>
      </c>
      <c r="K634">
        <v>0</v>
      </c>
    </row>
    <row r="635" spans="1:11" x14ac:dyDescent="0.3">
      <c r="A635" s="24">
        <v>0.44034722222222222</v>
      </c>
      <c r="C635">
        <v>377.22</v>
      </c>
      <c r="E635">
        <v>40.94</v>
      </c>
      <c r="G635">
        <v>8.0299999999999994</v>
      </c>
      <c r="I635">
        <v>37.06</v>
      </c>
      <c r="K635">
        <v>0</v>
      </c>
    </row>
    <row r="636" spans="1:11" x14ac:dyDescent="0.3">
      <c r="A636" s="24">
        <v>0.44104166666666672</v>
      </c>
      <c r="C636">
        <v>376.34</v>
      </c>
      <c r="E636">
        <v>39.79</v>
      </c>
      <c r="G636">
        <v>8.0399999999999991</v>
      </c>
      <c r="I636">
        <v>36.97</v>
      </c>
      <c r="K636">
        <v>0</v>
      </c>
    </row>
    <row r="637" spans="1:11" x14ac:dyDescent="0.3">
      <c r="A637" s="24">
        <v>0.44173611111111111</v>
      </c>
      <c r="C637">
        <v>375.21</v>
      </c>
      <c r="E637">
        <v>41.33</v>
      </c>
      <c r="G637">
        <v>8.0399999999999991</v>
      </c>
      <c r="I637">
        <v>36.99</v>
      </c>
      <c r="K637">
        <v>0</v>
      </c>
    </row>
    <row r="638" spans="1:11" x14ac:dyDescent="0.3">
      <c r="A638" s="24">
        <v>0.4424305555555556</v>
      </c>
      <c r="C638">
        <v>372.87</v>
      </c>
      <c r="E638">
        <v>41.83</v>
      </c>
      <c r="G638">
        <v>8.0399999999999991</v>
      </c>
      <c r="I638">
        <v>36.96</v>
      </c>
      <c r="K638">
        <v>0</v>
      </c>
    </row>
    <row r="639" spans="1:11" x14ac:dyDescent="0.3">
      <c r="A639" s="24">
        <v>0.44312499999999999</v>
      </c>
      <c r="C639">
        <v>370.03</v>
      </c>
      <c r="E639">
        <v>42.19</v>
      </c>
      <c r="G639">
        <v>8.0399999999999991</v>
      </c>
      <c r="I639">
        <v>36.97</v>
      </c>
      <c r="K639">
        <v>0</v>
      </c>
    </row>
    <row r="640" spans="1:11" x14ac:dyDescent="0.3">
      <c r="A640" s="24">
        <v>0.44383101851851853</v>
      </c>
      <c r="C640">
        <v>367.93</v>
      </c>
      <c r="E640">
        <v>41.08</v>
      </c>
      <c r="G640">
        <v>8.0399999999999991</v>
      </c>
      <c r="I640">
        <v>36.94</v>
      </c>
      <c r="K640">
        <v>0</v>
      </c>
    </row>
    <row r="641" spans="1:11" x14ac:dyDescent="0.3">
      <c r="A641" s="24">
        <v>0.44452546296296297</v>
      </c>
      <c r="C641">
        <v>368.31</v>
      </c>
      <c r="E641">
        <v>39.369999999999997</v>
      </c>
      <c r="G641">
        <v>8.0500000000000007</v>
      </c>
      <c r="I641">
        <v>36.92</v>
      </c>
      <c r="K641">
        <v>0</v>
      </c>
    </row>
    <row r="642" spans="1:11" x14ac:dyDescent="0.3">
      <c r="A642" s="24">
        <v>0.44521990740740741</v>
      </c>
      <c r="C642">
        <v>370.6</v>
      </c>
      <c r="E642">
        <v>38.99</v>
      </c>
      <c r="G642">
        <v>8.0500000000000007</v>
      </c>
      <c r="I642">
        <v>36.94</v>
      </c>
      <c r="K642">
        <v>0</v>
      </c>
    </row>
    <row r="643" spans="1:11" x14ac:dyDescent="0.3">
      <c r="A643" s="24">
        <v>0.44591435185185185</v>
      </c>
      <c r="C643">
        <v>368.96</v>
      </c>
      <c r="E643">
        <v>41.2</v>
      </c>
      <c r="G643">
        <v>8.0500000000000007</v>
      </c>
      <c r="I643">
        <v>36.99</v>
      </c>
      <c r="K643">
        <v>0</v>
      </c>
    </row>
    <row r="644" spans="1:11" x14ac:dyDescent="0.3">
      <c r="A644" s="24">
        <v>0.4466087962962963</v>
      </c>
      <c r="C644">
        <v>367.59</v>
      </c>
      <c r="E644">
        <v>40.799999999999997</v>
      </c>
      <c r="G644">
        <v>8.0500000000000007</v>
      </c>
      <c r="I644">
        <v>36.97</v>
      </c>
      <c r="K644">
        <v>0</v>
      </c>
    </row>
    <row r="645" spans="1:11" x14ac:dyDescent="0.3">
      <c r="A645" s="24">
        <v>0.44730324074074074</v>
      </c>
      <c r="C645">
        <v>366.92</v>
      </c>
      <c r="E645">
        <v>41.36</v>
      </c>
      <c r="G645">
        <v>8.0500000000000007</v>
      </c>
      <c r="I645">
        <v>37.01</v>
      </c>
      <c r="K645">
        <v>0</v>
      </c>
    </row>
    <row r="646" spans="1:11" x14ac:dyDescent="0.3">
      <c r="A646" s="24">
        <v>0.44799768518518518</v>
      </c>
      <c r="C646">
        <v>365.14</v>
      </c>
      <c r="E646">
        <v>40.89</v>
      </c>
      <c r="G646">
        <v>8.06</v>
      </c>
      <c r="I646">
        <v>37.020000000000003</v>
      </c>
      <c r="K646">
        <v>0</v>
      </c>
    </row>
    <row r="647" spans="1:11" x14ac:dyDescent="0.3">
      <c r="A647" s="24">
        <v>0.44869212962962962</v>
      </c>
      <c r="C647">
        <v>362.99</v>
      </c>
      <c r="E647">
        <v>41</v>
      </c>
      <c r="G647">
        <v>8.06</v>
      </c>
      <c r="I647">
        <v>37.07</v>
      </c>
      <c r="K647">
        <v>0</v>
      </c>
    </row>
    <row r="648" spans="1:11" x14ac:dyDescent="0.3">
      <c r="A648" s="24">
        <v>0.44938657407407406</v>
      </c>
      <c r="C648">
        <v>362.93</v>
      </c>
      <c r="E648">
        <v>39.57</v>
      </c>
      <c r="G648">
        <v>8.06</v>
      </c>
      <c r="I648">
        <v>36.99</v>
      </c>
      <c r="K648">
        <v>0</v>
      </c>
    </row>
    <row r="649" spans="1:11" x14ac:dyDescent="0.3">
      <c r="A649" s="24">
        <v>0.45009259259259254</v>
      </c>
      <c r="C649">
        <v>362.68</v>
      </c>
      <c r="E649">
        <v>40.89</v>
      </c>
      <c r="G649">
        <v>8.06</v>
      </c>
      <c r="I649">
        <v>36.96</v>
      </c>
      <c r="K649">
        <v>0</v>
      </c>
    </row>
    <row r="650" spans="1:11" x14ac:dyDescent="0.3">
      <c r="A650" s="24">
        <v>0.45076388888888891</v>
      </c>
      <c r="C650">
        <v>362.69</v>
      </c>
      <c r="E650">
        <v>39.61</v>
      </c>
      <c r="G650">
        <v>8.06</v>
      </c>
      <c r="I650">
        <v>36.950000000000003</v>
      </c>
      <c r="K650">
        <v>0</v>
      </c>
    </row>
    <row r="651" spans="1:11" x14ac:dyDescent="0.3">
      <c r="A651" s="24">
        <v>0.45145833333333335</v>
      </c>
      <c r="C651">
        <v>364.59</v>
      </c>
      <c r="E651">
        <v>38.409999999999997</v>
      </c>
      <c r="G651">
        <v>8.07</v>
      </c>
      <c r="I651">
        <v>36.99</v>
      </c>
      <c r="K651">
        <v>0</v>
      </c>
    </row>
    <row r="652" spans="1:11" x14ac:dyDescent="0.3">
      <c r="A652" s="24">
        <v>0.45215277777777779</v>
      </c>
      <c r="C652">
        <v>365.63</v>
      </c>
      <c r="E652">
        <v>40.6</v>
      </c>
      <c r="G652">
        <v>8.07</v>
      </c>
      <c r="I652">
        <v>36.9</v>
      </c>
      <c r="K652">
        <v>0</v>
      </c>
    </row>
    <row r="653" spans="1:11" x14ac:dyDescent="0.3">
      <c r="A653" s="24">
        <v>0.45284722222222223</v>
      </c>
      <c r="C653">
        <v>362.77</v>
      </c>
      <c r="E653">
        <v>40.64</v>
      </c>
      <c r="G653">
        <v>8.07</v>
      </c>
      <c r="I653">
        <v>37</v>
      </c>
      <c r="K653">
        <v>0</v>
      </c>
    </row>
    <row r="654" spans="1:11" x14ac:dyDescent="0.3">
      <c r="A654" s="24">
        <v>0.45354166666666668</v>
      </c>
      <c r="C654">
        <v>363.25</v>
      </c>
      <c r="E654">
        <v>40.67</v>
      </c>
      <c r="G654">
        <v>8.07</v>
      </c>
      <c r="I654">
        <v>37.020000000000003</v>
      </c>
      <c r="K654">
        <v>0</v>
      </c>
    </row>
    <row r="655" spans="1:11" x14ac:dyDescent="0.3">
      <c r="A655" s="24">
        <v>0.45423611111111112</v>
      </c>
      <c r="C655">
        <v>360.32</v>
      </c>
      <c r="E655">
        <v>40.47</v>
      </c>
      <c r="G655">
        <v>8.07</v>
      </c>
      <c r="I655">
        <v>36.9</v>
      </c>
      <c r="K655">
        <v>0</v>
      </c>
    </row>
    <row r="656" spans="1:11" x14ac:dyDescent="0.3">
      <c r="A656" s="24">
        <v>0.45493055555555556</v>
      </c>
      <c r="C656">
        <v>361.59</v>
      </c>
      <c r="E656">
        <v>40.21</v>
      </c>
      <c r="G656">
        <v>8.07</v>
      </c>
      <c r="I656">
        <v>36.880000000000003</v>
      </c>
      <c r="K656">
        <v>0</v>
      </c>
    </row>
    <row r="657" spans="1:11" x14ac:dyDescent="0.3">
      <c r="A657" s="24">
        <v>0.455625</v>
      </c>
      <c r="C657">
        <v>361.43</v>
      </c>
      <c r="E657">
        <v>39.630000000000003</v>
      </c>
      <c r="G657">
        <v>8.08</v>
      </c>
      <c r="I657">
        <v>36.92</v>
      </c>
      <c r="K657">
        <v>0</v>
      </c>
    </row>
    <row r="658" spans="1:11" x14ac:dyDescent="0.3">
      <c r="A658" s="24">
        <v>0.45633101851851854</v>
      </c>
      <c r="C658">
        <v>361.78</v>
      </c>
      <c r="E658">
        <v>40.729999999999997</v>
      </c>
      <c r="G658">
        <v>8.08</v>
      </c>
      <c r="I658">
        <v>36.97</v>
      </c>
      <c r="K658">
        <v>0</v>
      </c>
    </row>
    <row r="659" spans="1:11" x14ac:dyDescent="0.3">
      <c r="A659" s="24">
        <v>0.45702546296296293</v>
      </c>
      <c r="C659">
        <v>360.35</v>
      </c>
      <c r="E659">
        <v>40.11</v>
      </c>
      <c r="G659">
        <v>8.08</v>
      </c>
      <c r="I659">
        <v>36.979999999999997</v>
      </c>
      <c r="K659">
        <v>0</v>
      </c>
    </row>
    <row r="660" spans="1:11" x14ac:dyDescent="0.3">
      <c r="A660" s="24">
        <v>0.45771990740740742</v>
      </c>
      <c r="C660">
        <v>360.6</v>
      </c>
      <c r="E660">
        <v>40.31</v>
      </c>
      <c r="G660">
        <v>8.08</v>
      </c>
      <c r="I660">
        <v>36.94</v>
      </c>
      <c r="K660">
        <v>0</v>
      </c>
    </row>
    <row r="661" spans="1:11" x14ac:dyDescent="0.3">
      <c r="A661" s="24">
        <v>0.45841435185185181</v>
      </c>
      <c r="C661">
        <v>361.12</v>
      </c>
      <c r="E661">
        <v>39.82</v>
      </c>
      <c r="G661">
        <v>8.08</v>
      </c>
      <c r="I661">
        <v>36.950000000000003</v>
      </c>
      <c r="K661">
        <v>0</v>
      </c>
    </row>
    <row r="662" spans="1:11" x14ac:dyDescent="0.3">
      <c r="A662" s="24">
        <v>0.45910879629629631</v>
      </c>
      <c r="C662">
        <v>361.15</v>
      </c>
      <c r="E662">
        <v>39.729999999999997</v>
      </c>
      <c r="G662">
        <v>8.08</v>
      </c>
      <c r="I662">
        <v>36.97</v>
      </c>
      <c r="K662">
        <v>0</v>
      </c>
    </row>
    <row r="663" spans="1:11" x14ac:dyDescent="0.3">
      <c r="A663" s="24">
        <v>0.45980324074074069</v>
      </c>
      <c r="C663">
        <v>360.83</v>
      </c>
      <c r="E663">
        <v>39.76</v>
      </c>
      <c r="G663">
        <v>8.09</v>
      </c>
      <c r="I663">
        <v>37.01</v>
      </c>
      <c r="K663">
        <v>0</v>
      </c>
    </row>
    <row r="664" spans="1:11" x14ac:dyDescent="0.3">
      <c r="A664" s="24">
        <v>0.46049768518518519</v>
      </c>
      <c r="C664">
        <v>360.87</v>
      </c>
      <c r="E664">
        <v>40.86</v>
      </c>
      <c r="G664">
        <v>8.09</v>
      </c>
      <c r="I664">
        <v>36.94</v>
      </c>
      <c r="K664">
        <v>0</v>
      </c>
    </row>
    <row r="665" spans="1:11" x14ac:dyDescent="0.3">
      <c r="A665" s="24">
        <v>0.46119212962962958</v>
      </c>
      <c r="C665">
        <v>359.6</v>
      </c>
      <c r="E665">
        <v>40.47</v>
      </c>
      <c r="G665">
        <v>8.09</v>
      </c>
      <c r="I665">
        <v>36.950000000000003</v>
      </c>
      <c r="K665">
        <v>0</v>
      </c>
    </row>
    <row r="666" spans="1:11" x14ac:dyDescent="0.3">
      <c r="A666" s="24">
        <v>0.46189814814814811</v>
      </c>
      <c r="C666">
        <v>358.22</v>
      </c>
      <c r="E666">
        <v>40.5</v>
      </c>
      <c r="G666">
        <v>8.09</v>
      </c>
      <c r="I666">
        <v>37.03</v>
      </c>
      <c r="K666">
        <v>0</v>
      </c>
    </row>
    <row r="667" spans="1:11" x14ac:dyDescent="0.3">
      <c r="A667" s="24">
        <v>0.46259259259259261</v>
      </c>
      <c r="C667">
        <v>357.67</v>
      </c>
      <c r="E667">
        <v>39.99</v>
      </c>
      <c r="G667">
        <v>8.09</v>
      </c>
      <c r="I667">
        <v>37.049999999999997</v>
      </c>
      <c r="K667">
        <v>0</v>
      </c>
    </row>
    <row r="668" spans="1:11" x14ac:dyDescent="0.3">
      <c r="A668" s="24">
        <v>0.46326388888888892</v>
      </c>
      <c r="C668">
        <v>358</v>
      </c>
      <c r="E668">
        <v>40.14</v>
      </c>
      <c r="G668">
        <v>8.09</v>
      </c>
      <c r="I668">
        <v>37</v>
      </c>
      <c r="K668">
        <v>0</v>
      </c>
    </row>
    <row r="669" spans="1:11" x14ac:dyDescent="0.3">
      <c r="A669" s="24">
        <v>0.46395833333333331</v>
      </c>
      <c r="C669">
        <v>358.5</v>
      </c>
      <c r="E669">
        <v>39.880000000000003</v>
      </c>
      <c r="G669">
        <v>8.1</v>
      </c>
      <c r="I669">
        <v>36.96</v>
      </c>
      <c r="K669">
        <v>0</v>
      </c>
    </row>
    <row r="670" spans="1:11" x14ac:dyDescent="0.3">
      <c r="A670" s="24">
        <v>0.4646527777777778</v>
      </c>
      <c r="C670">
        <v>357.5</v>
      </c>
      <c r="E670">
        <v>40.32</v>
      </c>
      <c r="G670">
        <v>8.1</v>
      </c>
      <c r="I670">
        <v>36.950000000000003</v>
      </c>
      <c r="K670">
        <v>0</v>
      </c>
    </row>
    <row r="671" spans="1:11" x14ac:dyDescent="0.3">
      <c r="A671" s="24">
        <v>0.46534722222222219</v>
      </c>
      <c r="C671">
        <v>357.14</v>
      </c>
      <c r="E671">
        <v>40.479999999999997</v>
      </c>
      <c r="G671">
        <v>8.1</v>
      </c>
      <c r="I671">
        <v>37</v>
      </c>
      <c r="K671">
        <v>0</v>
      </c>
    </row>
    <row r="672" spans="1:11" x14ac:dyDescent="0.3">
      <c r="A672" s="24">
        <v>0.46604166666666669</v>
      </c>
      <c r="C672">
        <v>355.3</v>
      </c>
      <c r="E672">
        <v>40.659999999999997</v>
      </c>
      <c r="G672">
        <v>8.1</v>
      </c>
      <c r="I672">
        <v>37.01</v>
      </c>
      <c r="K672">
        <v>0</v>
      </c>
    </row>
    <row r="673" spans="1:11" x14ac:dyDescent="0.3">
      <c r="A673" s="24">
        <v>0.46673611111111107</v>
      </c>
      <c r="C673">
        <v>355.57</v>
      </c>
      <c r="E673">
        <v>40.58</v>
      </c>
      <c r="G673">
        <v>8.1</v>
      </c>
      <c r="I673">
        <v>36.97</v>
      </c>
      <c r="K673">
        <v>0</v>
      </c>
    </row>
    <row r="674" spans="1:11" x14ac:dyDescent="0.3">
      <c r="A674" s="24">
        <v>0.46743055555555557</v>
      </c>
      <c r="C674">
        <v>354.11</v>
      </c>
      <c r="E674">
        <v>40.5</v>
      </c>
      <c r="G674">
        <v>8.1</v>
      </c>
      <c r="I674">
        <v>37.07</v>
      </c>
      <c r="K674">
        <v>0</v>
      </c>
    </row>
    <row r="675" spans="1:11" x14ac:dyDescent="0.3">
      <c r="A675" s="24">
        <v>0.46813657407407411</v>
      </c>
      <c r="C675">
        <v>354.35</v>
      </c>
      <c r="E675">
        <v>40.32</v>
      </c>
      <c r="G675">
        <v>8.11</v>
      </c>
      <c r="I675">
        <v>36.99</v>
      </c>
      <c r="K675">
        <v>0</v>
      </c>
    </row>
    <row r="676" spans="1:11" x14ac:dyDescent="0.3">
      <c r="A676" s="24">
        <v>0.46883101851851849</v>
      </c>
      <c r="C676">
        <v>353.06</v>
      </c>
      <c r="E676">
        <v>40.200000000000003</v>
      </c>
      <c r="G676">
        <v>8.11</v>
      </c>
      <c r="I676">
        <v>36.96</v>
      </c>
      <c r="K676">
        <v>0</v>
      </c>
    </row>
    <row r="677" spans="1:11" x14ac:dyDescent="0.3">
      <c r="A677" s="24">
        <v>0.46952546296296299</v>
      </c>
      <c r="C677">
        <v>353.65</v>
      </c>
      <c r="E677">
        <v>40.31</v>
      </c>
      <c r="G677">
        <v>8.11</v>
      </c>
      <c r="I677">
        <v>36.96</v>
      </c>
      <c r="K677">
        <v>0</v>
      </c>
    </row>
    <row r="678" spans="1:11" x14ac:dyDescent="0.3">
      <c r="A678" s="24">
        <v>0.47021990740740738</v>
      </c>
      <c r="C678">
        <v>353.32</v>
      </c>
      <c r="E678">
        <v>39.86</v>
      </c>
      <c r="G678">
        <v>8.11</v>
      </c>
      <c r="I678">
        <v>37</v>
      </c>
      <c r="K678">
        <v>0</v>
      </c>
    </row>
    <row r="679" spans="1:11" x14ac:dyDescent="0.3">
      <c r="A679" s="24">
        <v>0.47091435185185188</v>
      </c>
      <c r="C679">
        <v>352.69</v>
      </c>
      <c r="E679">
        <v>40.86</v>
      </c>
      <c r="G679">
        <v>8.11</v>
      </c>
      <c r="I679">
        <v>37.020000000000003</v>
      </c>
      <c r="K679">
        <v>0</v>
      </c>
    </row>
    <row r="680" spans="1:11" x14ac:dyDescent="0.3">
      <c r="A680" s="24">
        <v>0.47160879629629626</v>
      </c>
      <c r="C680">
        <v>349.7</v>
      </c>
      <c r="E680">
        <v>41</v>
      </c>
      <c r="G680">
        <v>8.11</v>
      </c>
      <c r="I680">
        <v>37.020000000000003</v>
      </c>
      <c r="K680">
        <v>0</v>
      </c>
    </row>
    <row r="681" spans="1:11" x14ac:dyDescent="0.3">
      <c r="A681" s="24">
        <v>0.47230324074074076</v>
      </c>
      <c r="C681">
        <v>350.3</v>
      </c>
      <c r="E681">
        <v>40.369999999999997</v>
      </c>
      <c r="G681">
        <v>8.11</v>
      </c>
      <c r="I681">
        <v>36.99</v>
      </c>
      <c r="K681">
        <v>0</v>
      </c>
    </row>
    <row r="682" spans="1:11" x14ac:dyDescent="0.3">
      <c r="A682" s="24">
        <v>0.4729976851851852</v>
      </c>
      <c r="C682">
        <v>350.42</v>
      </c>
      <c r="E682">
        <v>39.659999999999997</v>
      </c>
      <c r="G682">
        <v>8.1199999999999992</v>
      </c>
      <c r="I682">
        <v>36.97</v>
      </c>
      <c r="K682">
        <v>0</v>
      </c>
    </row>
    <row r="683" spans="1:11" x14ac:dyDescent="0.3">
      <c r="A683" s="24">
        <v>0.47370370370370374</v>
      </c>
      <c r="C683">
        <v>350.43</v>
      </c>
      <c r="E683">
        <v>40.200000000000003</v>
      </c>
      <c r="G683">
        <v>8.1199999999999992</v>
      </c>
      <c r="I683">
        <v>37</v>
      </c>
      <c r="K683">
        <v>0</v>
      </c>
    </row>
    <row r="684" spans="1:11" x14ac:dyDescent="0.3">
      <c r="A684" s="24">
        <v>0.47439814814814812</v>
      </c>
      <c r="C684">
        <v>349.96</v>
      </c>
      <c r="E684">
        <v>39.81</v>
      </c>
      <c r="G684">
        <v>8.1199999999999992</v>
      </c>
      <c r="I684">
        <v>36.93</v>
      </c>
      <c r="K684">
        <v>0</v>
      </c>
    </row>
    <row r="685" spans="1:11" x14ac:dyDescent="0.3">
      <c r="A685" s="24">
        <v>0.47506944444444449</v>
      </c>
      <c r="C685">
        <v>351.33</v>
      </c>
      <c r="E685">
        <v>40.97</v>
      </c>
      <c r="G685">
        <v>8.1199999999999992</v>
      </c>
      <c r="I685">
        <v>36.92</v>
      </c>
      <c r="K685">
        <v>0</v>
      </c>
    </row>
    <row r="686" spans="1:11" x14ac:dyDescent="0.3">
      <c r="A686" s="24">
        <v>0.47576388888888888</v>
      </c>
      <c r="C686">
        <v>348.07</v>
      </c>
      <c r="E686">
        <v>40.72</v>
      </c>
      <c r="G686">
        <v>8.1199999999999992</v>
      </c>
      <c r="I686">
        <v>36.97</v>
      </c>
      <c r="K686">
        <v>0</v>
      </c>
    </row>
    <row r="687" spans="1:11" x14ac:dyDescent="0.3">
      <c r="A687" s="24">
        <v>0.47645833333333337</v>
      </c>
      <c r="C687">
        <v>347.62</v>
      </c>
      <c r="E687">
        <v>40.659999999999997</v>
      </c>
      <c r="G687">
        <v>8.1199999999999992</v>
      </c>
      <c r="I687">
        <v>36.979999999999997</v>
      </c>
      <c r="K687">
        <v>0</v>
      </c>
    </row>
    <row r="688" spans="1:11" x14ac:dyDescent="0.3">
      <c r="A688" s="24">
        <v>0.47715277777777776</v>
      </c>
      <c r="C688">
        <v>347.39</v>
      </c>
      <c r="E688">
        <v>39.97</v>
      </c>
      <c r="G688">
        <v>8.1199999999999992</v>
      </c>
      <c r="I688">
        <v>36.94</v>
      </c>
      <c r="K688">
        <v>0</v>
      </c>
    </row>
    <row r="689" spans="1:11" x14ac:dyDescent="0.3">
      <c r="A689" s="24">
        <v>0.47784722222222226</v>
      </c>
      <c r="C689">
        <v>348.14</v>
      </c>
      <c r="E689">
        <v>39.630000000000003</v>
      </c>
      <c r="G689">
        <v>8.1199999999999992</v>
      </c>
      <c r="I689">
        <v>36.99</v>
      </c>
      <c r="K689">
        <v>0</v>
      </c>
    </row>
    <row r="690" spans="1:11" x14ac:dyDescent="0.3">
      <c r="A690" s="24">
        <v>0.47854166666666664</v>
      </c>
      <c r="C690">
        <v>347.9</v>
      </c>
      <c r="E690">
        <v>39.909999999999997</v>
      </c>
      <c r="G690">
        <v>8.1199999999999992</v>
      </c>
      <c r="I690">
        <v>37.01</v>
      </c>
      <c r="K690">
        <v>0</v>
      </c>
    </row>
    <row r="691" spans="1:11" x14ac:dyDescent="0.3">
      <c r="A691" s="24">
        <v>0.47923611111111114</v>
      </c>
      <c r="C691">
        <v>347.33</v>
      </c>
      <c r="E691">
        <v>40.15</v>
      </c>
      <c r="G691">
        <v>8.1199999999999992</v>
      </c>
      <c r="I691">
        <v>37.03</v>
      </c>
      <c r="K691">
        <v>0</v>
      </c>
    </row>
    <row r="692" spans="1:11" x14ac:dyDescent="0.3">
      <c r="A692" s="24">
        <v>0.47994212962962962</v>
      </c>
      <c r="C692">
        <v>347.91</v>
      </c>
      <c r="E692">
        <v>40.03</v>
      </c>
      <c r="G692">
        <v>8.1300000000000008</v>
      </c>
      <c r="I692">
        <v>36.979999999999997</v>
      </c>
      <c r="K692">
        <v>0</v>
      </c>
    </row>
    <row r="693" spans="1:11" x14ac:dyDescent="0.3">
      <c r="A693" s="24">
        <v>0.48063657407407406</v>
      </c>
      <c r="C693">
        <v>347.15</v>
      </c>
      <c r="E693">
        <v>40.340000000000003</v>
      </c>
      <c r="G693">
        <v>8.1300000000000008</v>
      </c>
      <c r="I693">
        <v>37.07</v>
      </c>
      <c r="K693">
        <v>0</v>
      </c>
    </row>
    <row r="694" spans="1:11" x14ac:dyDescent="0.3">
      <c r="A694" s="24">
        <v>0.48133101851851851</v>
      </c>
      <c r="C694">
        <v>344.58</v>
      </c>
      <c r="E694">
        <v>40.17</v>
      </c>
      <c r="G694">
        <v>8.1300000000000008</v>
      </c>
      <c r="I694">
        <v>36.979999999999997</v>
      </c>
      <c r="K694">
        <v>0</v>
      </c>
    </row>
    <row r="695" spans="1:11" x14ac:dyDescent="0.3">
      <c r="A695" s="24">
        <v>0.48202546296296295</v>
      </c>
      <c r="C695">
        <v>347.27</v>
      </c>
      <c r="E695">
        <v>40.18</v>
      </c>
      <c r="G695">
        <v>8.1300000000000008</v>
      </c>
      <c r="I695">
        <v>37.07</v>
      </c>
      <c r="K695">
        <v>0</v>
      </c>
    </row>
    <row r="696" spans="1:11" x14ac:dyDescent="0.3">
      <c r="A696" s="24">
        <v>0.48271990740740739</v>
      </c>
      <c r="C696">
        <v>347.31</v>
      </c>
      <c r="E696">
        <v>39.82</v>
      </c>
      <c r="G696">
        <v>8.1300000000000008</v>
      </c>
      <c r="I696">
        <v>37.03</v>
      </c>
      <c r="K696">
        <v>0</v>
      </c>
    </row>
    <row r="697" spans="1:11" x14ac:dyDescent="0.3">
      <c r="A697" s="24">
        <v>0.48341435185185189</v>
      </c>
      <c r="C697">
        <v>346.69</v>
      </c>
      <c r="E697">
        <v>40.020000000000003</v>
      </c>
      <c r="G697">
        <v>8.1300000000000008</v>
      </c>
      <c r="I697">
        <v>36.99</v>
      </c>
      <c r="K697">
        <v>0</v>
      </c>
    </row>
    <row r="698" spans="1:11" x14ac:dyDescent="0.3">
      <c r="A698" s="24">
        <v>0.48410879629629627</v>
      </c>
      <c r="C698">
        <v>347.02</v>
      </c>
      <c r="E698">
        <v>40.159999999999997</v>
      </c>
      <c r="G698">
        <v>8.1300000000000008</v>
      </c>
      <c r="I698">
        <v>36.99</v>
      </c>
      <c r="K698">
        <v>0</v>
      </c>
    </row>
    <row r="699" spans="1:11" x14ac:dyDescent="0.3">
      <c r="A699" s="24">
        <v>0.48480324074074077</v>
      </c>
      <c r="C699">
        <v>347.16</v>
      </c>
      <c r="E699">
        <v>39.76</v>
      </c>
      <c r="G699">
        <v>8.1300000000000008</v>
      </c>
      <c r="I699">
        <v>37.049999999999997</v>
      </c>
      <c r="K699">
        <v>0</v>
      </c>
    </row>
    <row r="700" spans="1:11" x14ac:dyDescent="0.3">
      <c r="A700" s="24">
        <v>0.48549768518518516</v>
      </c>
      <c r="C700">
        <v>347.45</v>
      </c>
      <c r="E700">
        <v>40.36</v>
      </c>
      <c r="G700">
        <v>8.14</v>
      </c>
      <c r="I700">
        <v>37</v>
      </c>
      <c r="K700">
        <v>0</v>
      </c>
    </row>
    <row r="701" spans="1:11" x14ac:dyDescent="0.3">
      <c r="A701" s="24">
        <v>0.48620370370370369</v>
      </c>
      <c r="C701">
        <v>345.89</v>
      </c>
      <c r="E701">
        <v>40.74</v>
      </c>
      <c r="G701">
        <v>8.14</v>
      </c>
      <c r="I701">
        <v>37.020000000000003</v>
      </c>
      <c r="K701">
        <v>0</v>
      </c>
    </row>
    <row r="702" spans="1:11" x14ac:dyDescent="0.3">
      <c r="A702" s="24">
        <v>0.486875</v>
      </c>
      <c r="C702">
        <v>345.12</v>
      </c>
      <c r="E702">
        <v>40.479999999999997</v>
      </c>
      <c r="G702">
        <v>8.14</v>
      </c>
      <c r="I702">
        <v>37</v>
      </c>
      <c r="K702">
        <v>0</v>
      </c>
    </row>
    <row r="703" spans="1:11" x14ac:dyDescent="0.3">
      <c r="A703" s="24">
        <v>0.48756944444444444</v>
      </c>
      <c r="C703">
        <v>344.84</v>
      </c>
      <c r="E703">
        <v>40.340000000000003</v>
      </c>
      <c r="G703">
        <v>8.14</v>
      </c>
      <c r="I703">
        <v>37.08</v>
      </c>
      <c r="K703">
        <v>0</v>
      </c>
    </row>
    <row r="704" spans="1:11" x14ac:dyDescent="0.3">
      <c r="A704" s="24">
        <v>0.48826388888888889</v>
      </c>
      <c r="C704">
        <v>343.98</v>
      </c>
      <c r="E704">
        <v>40.21</v>
      </c>
      <c r="G704">
        <v>8.14</v>
      </c>
      <c r="I704">
        <v>37.04</v>
      </c>
      <c r="K704">
        <v>0</v>
      </c>
    </row>
    <row r="705" spans="1:11" x14ac:dyDescent="0.3">
      <c r="A705" s="24">
        <v>0.48895833333333333</v>
      </c>
      <c r="C705">
        <v>343</v>
      </c>
      <c r="E705">
        <v>40.14</v>
      </c>
      <c r="G705">
        <v>8.14</v>
      </c>
      <c r="I705">
        <v>37.01</v>
      </c>
      <c r="K705">
        <v>0</v>
      </c>
    </row>
    <row r="706" spans="1:11" x14ac:dyDescent="0.3">
      <c r="A706" s="24">
        <v>0.48965277777777777</v>
      </c>
      <c r="C706">
        <v>343.28</v>
      </c>
      <c r="E706">
        <v>40.340000000000003</v>
      </c>
      <c r="G706">
        <v>8.14</v>
      </c>
      <c r="I706">
        <v>36.96</v>
      </c>
      <c r="K706">
        <v>0</v>
      </c>
    </row>
    <row r="707" spans="1:11" x14ac:dyDescent="0.3">
      <c r="A707" s="24">
        <v>0.49034722222222221</v>
      </c>
      <c r="C707">
        <v>343.18</v>
      </c>
      <c r="E707">
        <v>40.14</v>
      </c>
      <c r="G707">
        <v>8.14</v>
      </c>
      <c r="I707">
        <v>36.97</v>
      </c>
      <c r="K707">
        <v>0</v>
      </c>
    </row>
    <row r="708" spans="1:11" x14ac:dyDescent="0.3">
      <c r="A708" s="24">
        <v>0.49104166666666665</v>
      </c>
      <c r="C708">
        <v>343.04</v>
      </c>
      <c r="E708">
        <v>40.33</v>
      </c>
      <c r="G708">
        <v>8.14</v>
      </c>
      <c r="I708">
        <v>37.04</v>
      </c>
      <c r="K708">
        <v>0</v>
      </c>
    </row>
    <row r="709" spans="1:11" x14ac:dyDescent="0.3">
      <c r="A709" s="24">
        <v>0.49174768518518519</v>
      </c>
      <c r="C709">
        <v>343.82</v>
      </c>
      <c r="E709">
        <v>39.869999999999997</v>
      </c>
      <c r="G709">
        <v>8.14</v>
      </c>
      <c r="I709">
        <v>36.96</v>
      </c>
      <c r="K709">
        <v>0</v>
      </c>
    </row>
    <row r="710" spans="1:11" x14ac:dyDescent="0.3">
      <c r="A710" s="24">
        <v>0.49244212962962958</v>
      </c>
      <c r="C710">
        <v>343.66</v>
      </c>
      <c r="E710">
        <v>40.01</v>
      </c>
      <c r="G710">
        <v>8.14</v>
      </c>
      <c r="I710">
        <v>37.020000000000003</v>
      </c>
      <c r="K710">
        <v>0</v>
      </c>
    </row>
    <row r="711" spans="1:11" x14ac:dyDescent="0.3">
      <c r="A711" s="24">
        <v>0.49313657407407407</v>
      </c>
      <c r="C711">
        <v>342.71</v>
      </c>
      <c r="E711">
        <v>40.21</v>
      </c>
      <c r="G711">
        <v>8.15</v>
      </c>
      <c r="I711">
        <v>37</v>
      </c>
      <c r="K711">
        <v>0</v>
      </c>
    </row>
    <row r="712" spans="1:11" x14ac:dyDescent="0.3">
      <c r="A712" s="24">
        <v>0.49383101851851857</v>
      </c>
      <c r="C712">
        <v>342.77</v>
      </c>
      <c r="E712">
        <v>40.130000000000003</v>
      </c>
      <c r="G712">
        <v>8.15</v>
      </c>
      <c r="I712">
        <v>37.049999999999997</v>
      </c>
      <c r="K712">
        <v>0</v>
      </c>
    </row>
    <row r="713" spans="1:11" x14ac:dyDescent="0.3">
      <c r="A713" s="24">
        <v>0.49452546296296296</v>
      </c>
      <c r="C713">
        <v>342.15</v>
      </c>
      <c r="E713">
        <v>40.25</v>
      </c>
      <c r="G713">
        <v>8.15</v>
      </c>
      <c r="I713">
        <v>37</v>
      </c>
      <c r="K713">
        <v>0</v>
      </c>
    </row>
    <row r="714" spans="1:11" x14ac:dyDescent="0.3">
      <c r="A714" s="24">
        <v>0.49521990740740746</v>
      </c>
      <c r="C714">
        <v>342.59</v>
      </c>
      <c r="E714">
        <v>40.130000000000003</v>
      </c>
      <c r="G714">
        <v>8.15</v>
      </c>
      <c r="I714">
        <v>36.99</v>
      </c>
      <c r="K714">
        <v>0</v>
      </c>
    </row>
    <row r="715" spans="1:11" x14ac:dyDescent="0.3">
      <c r="A715" s="24">
        <v>0.49591435185185184</v>
      </c>
      <c r="C715">
        <v>342.07</v>
      </c>
      <c r="E715">
        <v>40.21</v>
      </c>
      <c r="G715">
        <v>8.15</v>
      </c>
      <c r="I715">
        <v>36.93</v>
      </c>
      <c r="K715">
        <v>0</v>
      </c>
    </row>
    <row r="716" spans="1:11" x14ac:dyDescent="0.3">
      <c r="A716" s="24">
        <v>0.49660879629629634</v>
      </c>
      <c r="C716">
        <v>341.96</v>
      </c>
      <c r="E716">
        <v>40.21</v>
      </c>
      <c r="G716">
        <v>8.15</v>
      </c>
      <c r="I716">
        <v>36.97</v>
      </c>
      <c r="K716">
        <v>0</v>
      </c>
    </row>
    <row r="717" spans="1:11" x14ac:dyDescent="0.3">
      <c r="A717" s="24">
        <v>0.49730324074074073</v>
      </c>
      <c r="C717">
        <v>342.26</v>
      </c>
      <c r="E717">
        <v>40.54</v>
      </c>
      <c r="G717">
        <v>8.15</v>
      </c>
      <c r="I717">
        <v>36.94</v>
      </c>
      <c r="K717">
        <v>0</v>
      </c>
    </row>
    <row r="718" spans="1:11" x14ac:dyDescent="0.3">
      <c r="A718" s="24">
        <v>0.49800925925925926</v>
      </c>
      <c r="C718">
        <v>340.35</v>
      </c>
      <c r="E718">
        <v>40.5</v>
      </c>
      <c r="G718">
        <v>8.15</v>
      </c>
      <c r="I718">
        <v>36.97</v>
      </c>
      <c r="K718">
        <v>0</v>
      </c>
    </row>
    <row r="719" spans="1:11" x14ac:dyDescent="0.3">
      <c r="A719" s="24">
        <v>0.49868055555555557</v>
      </c>
      <c r="C719">
        <v>340.18</v>
      </c>
      <c r="E719">
        <v>40.520000000000003</v>
      </c>
      <c r="G719">
        <v>8.15</v>
      </c>
      <c r="I719">
        <v>36.97</v>
      </c>
      <c r="K719">
        <v>0</v>
      </c>
    </row>
    <row r="720" spans="1:11" x14ac:dyDescent="0.3">
      <c r="A720" s="24">
        <v>0.49937499999999996</v>
      </c>
      <c r="C720">
        <v>339.19</v>
      </c>
      <c r="E720">
        <v>40.43</v>
      </c>
      <c r="G720">
        <v>8.15</v>
      </c>
      <c r="I720">
        <v>36.950000000000003</v>
      </c>
      <c r="K720">
        <v>0</v>
      </c>
    </row>
    <row r="721" spans="1:11" x14ac:dyDescent="0.3">
      <c r="A721" s="24">
        <v>0.50006944444444446</v>
      </c>
      <c r="C721">
        <v>339.12</v>
      </c>
      <c r="E721">
        <v>40.28</v>
      </c>
      <c r="G721">
        <v>8.15</v>
      </c>
      <c r="I721">
        <v>37</v>
      </c>
      <c r="K721">
        <v>0</v>
      </c>
    </row>
    <row r="722" spans="1:11" x14ac:dyDescent="0.3">
      <c r="A722" s="24">
        <v>0.5007638888888889</v>
      </c>
      <c r="C722">
        <v>338.7</v>
      </c>
      <c r="E722">
        <v>40.1</v>
      </c>
      <c r="G722">
        <v>8.15</v>
      </c>
      <c r="I722">
        <v>36.92</v>
      </c>
      <c r="K722">
        <v>0</v>
      </c>
    </row>
    <row r="723" spans="1:11" x14ac:dyDescent="0.3">
      <c r="A723" s="24">
        <v>0.50145833333333334</v>
      </c>
      <c r="C723">
        <v>338.97</v>
      </c>
      <c r="E723">
        <v>39.89</v>
      </c>
      <c r="G723">
        <v>8.16</v>
      </c>
      <c r="I723">
        <v>36.96</v>
      </c>
      <c r="K723">
        <v>0</v>
      </c>
    </row>
    <row r="724" spans="1:11" x14ac:dyDescent="0.3">
      <c r="A724" s="24">
        <v>0.50215277777777778</v>
      </c>
      <c r="C724">
        <v>338</v>
      </c>
      <c r="E724">
        <v>39.76</v>
      </c>
      <c r="G724">
        <v>8.16</v>
      </c>
      <c r="I724">
        <v>37</v>
      </c>
      <c r="K724">
        <v>0</v>
      </c>
    </row>
    <row r="725" spans="1:11" x14ac:dyDescent="0.3">
      <c r="A725" s="24">
        <v>0.50284722222222222</v>
      </c>
      <c r="C725">
        <v>339.11</v>
      </c>
      <c r="E725">
        <v>39.89</v>
      </c>
      <c r="G725">
        <v>8.16</v>
      </c>
      <c r="I725">
        <v>37.04</v>
      </c>
      <c r="K725">
        <v>0</v>
      </c>
    </row>
    <row r="726" spans="1:11" x14ac:dyDescent="0.3">
      <c r="A726" s="24">
        <v>0.5035532407407407</v>
      </c>
      <c r="C726">
        <v>339.85</v>
      </c>
      <c r="E726">
        <v>39.82</v>
      </c>
      <c r="G726">
        <v>8.16</v>
      </c>
      <c r="I726">
        <v>36.99</v>
      </c>
      <c r="K726">
        <v>0</v>
      </c>
    </row>
    <row r="727" spans="1:11" x14ac:dyDescent="0.3">
      <c r="A727" s="24">
        <v>0.50424768518518526</v>
      </c>
      <c r="C727">
        <v>339.62</v>
      </c>
      <c r="E727">
        <v>40.020000000000003</v>
      </c>
      <c r="G727">
        <v>8.16</v>
      </c>
      <c r="I727">
        <v>37.04</v>
      </c>
      <c r="K727">
        <v>0</v>
      </c>
    </row>
    <row r="728" spans="1:11" x14ac:dyDescent="0.3">
      <c r="A728" s="24">
        <v>0.50494212962962959</v>
      </c>
      <c r="C728">
        <v>339.04</v>
      </c>
      <c r="E728">
        <v>40.31</v>
      </c>
      <c r="G728">
        <v>8.16</v>
      </c>
      <c r="I728">
        <v>36.99</v>
      </c>
      <c r="K728">
        <v>0</v>
      </c>
    </row>
    <row r="729" spans="1:11" x14ac:dyDescent="0.3">
      <c r="A729" s="24">
        <v>0.50563657407407414</v>
      </c>
      <c r="C729">
        <v>338.76</v>
      </c>
      <c r="E729">
        <v>40.46</v>
      </c>
      <c r="G729">
        <v>8.16</v>
      </c>
      <c r="I729">
        <v>37.020000000000003</v>
      </c>
      <c r="K729">
        <v>0</v>
      </c>
    </row>
    <row r="730" spans="1:11" x14ac:dyDescent="0.3">
      <c r="A730" s="24">
        <v>0.50633101851851847</v>
      </c>
      <c r="C730">
        <v>338.24</v>
      </c>
      <c r="E730">
        <v>39.9</v>
      </c>
      <c r="G730">
        <v>8.16</v>
      </c>
      <c r="I730">
        <v>37.04</v>
      </c>
      <c r="K730">
        <v>0</v>
      </c>
    </row>
    <row r="731" spans="1:11" x14ac:dyDescent="0.3">
      <c r="A731" s="24">
        <v>0.50702546296296302</v>
      </c>
      <c r="C731">
        <v>337.91</v>
      </c>
      <c r="E731">
        <v>40.14</v>
      </c>
      <c r="G731">
        <v>8.16</v>
      </c>
      <c r="I731">
        <v>36.97</v>
      </c>
      <c r="K731">
        <v>0</v>
      </c>
    </row>
    <row r="732" spans="1:11" x14ac:dyDescent="0.3">
      <c r="A732" s="24">
        <v>0.50771990740740736</v>
      </c>
      <c r="C732">
        <v>337.97</v>
      </c>
      <c r="E732">
        <v>40.21</v>
      </c>
      <c r="G732">
        <v>8.16</v>
      </c>
      <c r="I732">
        <v>37.020000000000003</v>
      </c>
      <c r="K732">
        <v>0</v>
      </c>
    </row>
    <row r="733" spans="1:11" x14ac:dyDescent="0.3">
      <c r="A733" s="24">
        <v>0.50841435185185191</v>
      </c>
      <c r="C733">
        <v>337.38</v>
      </c>
      <c r="E733">
        <v>40.18</v>
      </c>
      <c r="G733">
        <v>8.16</v>
      </c>
      <c r="I733">
        <v>37.049999999999997</v>
      </c>
      <c r="K733">
        <v>0</v>
      </c>
    </row>
    <row r="734" spans="1:11" x14ac:dyDescent="0.3">
      <c r="A734" s="24">
        <v>0.50910879629629624</v>
      </c>
      <c r="C734">
        <v>337.99</v>
      </c>
      <c r="E734">
        <v>39.86</v>
      </c>
      <c r="G734">
        <v>8.16</v>
      </c>
      <c r="I734">
        <v>36.96</v>
      </c>
      <c r="K734">
        <v>0</v>
      </c>
    </row>
    <row r="735" spans="1:11" x14ac:dyDescent="0.3">
      <c r="A735" s="24">
        <v>0.50981481481481483</v>
      </c>
      <c r="C735">
        <v>337.88</v>
      </c>
      <c r="E735">
        <v>40.17</v>
      </c>
      <c r="G735">
        <v>8.16</v>
      </c>
      <c r="I735">
        <v>36.97</v>
      </c>
      <c r="K735">
        <v>0</v>
      </c>
    </row>
    <row r="736" spans="1:11" x14ac:dyDescent="0.3">
      <c r="A736" s="24">
        <v>0.51048611111111108</v>
      </c>
      <c r="C736">
        <v>337.52</v>
      </c>
      <c r="E736">
        <v>39.979999999999997</v>
      </c>
      <c r="G736">
        <v>8.16</v>
      </c>
      <c r="I736">
        <v>36.979999999999997</v>
      </c>
      <c r="K736">
        <v>0</v>
      </c>
    </row>
    <row r="737" spans="1:11" x14ac:dyDescent="0.3">
      <c r="A737" s="24">
        <v>0.51118055555555553</v>
      </c>
      <c r="C737">
        <v>337.28</v>
      </c>
      <c r="E737">
        <v>40.119999999999997</v>
      </c>
      <c r="G737">
        <v>8.16</v>
      </c>
      <c r="I737">
        <v>36.96</v>
      </c>
      <c r="K737">
        <v>0</v>
      </c>
    </row>
    <row r="738" spans="1:11" x14ac:dyDescent="0.3">
      <c r="A738" s="24">
        <v>0.51187499999999997</v>
      </c>
      <c r="C738">
        <v>336.35</v>
      </c>
      <c r="E738">
        <v>40.68</v>
      </c>
      <c r="G738">
        <v>8.17</v>
      </c>
      <c r="I738">
        <v>37.04</v>
      </c>
      <c r="K738">
        <v>0</v>
      </c>
    </row>
    <row r="739" spans="1:11" x14ac:dyDescent="0.3">
      <c r="A739" s="24">
        <v>0.51256944444444441</v>
      </c>
      <c r="C739">
        <v>335.87</v>
      </c>
      <c r="E739">
        <v>40.369999999999997</v>
      </c>
      <c r="G739">
        <v>8.17</v>
      </c>
      <c r="I739">
        <v>37</v>
      </c>
      <c r="K739">
        <v>0</v>
      </c>
    </row>
    <row r="740" spans="1:11" x14ac:dyDescent="0.3">
      <c r="A740" s="24">
        <v>0.51326388888888885</v>
      </c>
      <c r="C740">
        <v>335.83</v>
      </c>
      <c r="E740">
        <v>40.01</v>
      </c>
      <c r="G740">
        <v>8.17</v>
      </c>
      <c r="I740">
        <v>36.99</v>
      </c>
      <c r="K740">
        <v>0</v>
      </c>
    </row>
    <row r="741" spans="1:11" x14ac:dyDescent="0.3">
      <c r="A741" s="24">
        <v>0.51395833333333341</v>
      </c>
      <c r="C741">
        <v>335.93</v>
      </c>
      <c r="E741">
        <v>39.729999999999997</v>
      </c>
      <c r="G741">
        <v>8.17</v>
      </c>
      <c r="I741">
        <v>36.99</v>
      </c>
      <c r="K741">
        <v>0</v>
      </c>
    </row>
    <row r="742" spans="1:11" x14ac:dyDescent="0.3">
      <c r="A742" s="24">
        <v>0.51465277777777774</v>
      </c>
      <c r="C742">
        <v>335.96</v>
      </c>
      <c r="E742">
        <v>39.92</v>
      </c>
      <c r="G742">
        <v>8.17</v>
      </c>
      <c r="I742">
        <v>37.01</v>
      </c>
      <c r="K742">
        <v>0</v>
      </c>
    </row>
    <row r="743" spans="1:11" x14ac:dyDescent="0.3">
      <c r="A743" s="24">
        <v>0.51534722222222229</v>
      </c>
      <c r="C743">
        <v>336.17</v>
      </c>
      <c r="E743">
        <v>39.950000000000003</v>
      </c>
      <c r="G743">
        <v>8.17</v>
      </c>
      <c r="I743">
        <v>37.049999999999997</v>
      </c>
      <c r="K743">
        <v>0</v>
      </c>
    </row>
    <row r="744" spans="1:11" x14ac:dyDescent="0.3">
      <c r="A744" s="24">
        <v>0.51605324074074077</v>
      </c>
      <c r="C744">
        <v>336.11</v>
      </c>
      <c r="E744">
        <v>40.270000000000003</v>
      </c>
      <c r="G744">
        <v>8.17</v>
      </c>
      <c r="I744">
        <v>36.909999999999997</v>
      </c>
      <c r="K744">
        <v>0</v>
      </c>
    </row>
    <row r="745" spans="1:11" x14ac:dyDescent="0.3">
      <c r="A745" s="24">
        <v>0.51674768518518521</v>
      </c>
      <c r="C745">
        <v>336.08</v>
      </c>
      <c r="E745">
        <v>40.24</v>
      </c>
      <c r="G745">
        <v>8.17</v>
      </c>
      <c r="I745">
        <v>36.96</v>
      </c>
      <c r="K745">
        <v>0</v>
      </c>
    </row>
    <row r="746" spans="1:11" x14ac:dyDescent="0.3">
      <c r="A746" s="24">
        <v>0.51744212962962965</v>
      </c>
      <c r="C746">
        <v>335.07</v>
      </c>
      <c r="E746">
        <v>40.4</v>
      </c>
      <c r="G746">
        <v>8.17</v>
      </c>
      <c r="I746">
        <v>36.99</v>
      </c>
      <c r="K746">
        <v>0</v>
      </c>
    </row>
    <row r="747" spans="1:11" x14ac:dyDescent="0.3">
      <c r="A747" s="24">
        <v>0.5181365740740741</v>
      </c>
      <c r="C747">
        <v>334.6</v>
      </c>
      <c r="E747">
        <v>40.19</v>
      </c>
      <c r="G747">
        <v>8.17</v>
      </c>
      <c r="I747">
        <v>36.94</v>
      </c>
      <c r="K747">
        <v>0</v>
      </c>
    </row>
    <row r="748" spans="1:11" x14ac:dyDescent="0.3">
      <c r="A748" s="24">
        <v>0.51883101851851854</v>
      </c>
      <c r="C748">
        <v>334.35</v>
      </c>
      <c r="E748">
        <v>40.340000000000003</v>
      </c>
      <c r="G748">
        <v>8.17</v>
      </c>
      <c r="I748">
        <v>36.93</v>
      </c>
      <c r="K748">
        <v>0</v>
      </c>
    </row>
    <row r="749" spans="1:11" x14ac:dyDescent="0.3">
      <c r="A749" s="24">
        <v>0.51952546296296298</v>
      </c>
      <c r="C749">
        <v>334.28</v>
      </c>
      <c r="E749">
        <v>40.270000000000003</v>
      </c>
      <c r="G749">
        <v>8.17</v>
      </c>
      <c r="I749">
        <v>37.01</v>
      </c>
      <c r="K749">
        <v>0</v>
      </c>
    </row>
    <row r="750" spans="1:11" x14ac:dyDescent="0.3">
      <c r="A750" s="24">
        <v>0.52021990740740742</v>
      </c>
      <c r="C750">
        <v>333.11</v>
      </c>
      <c r="E750">
        <v>40.369999999999997</v>
      </c>
      <c r="G750">
        <v>8.17</v>
      </c>
      <c r="I750">
        <v>36.979999999999997</v>
      </c>
      <c r="K750">
        <v>0</v>
      </c>
    </row>
    <row r="751" spans="1:11" x14ac:dyDescent="0.3">
      <c r="A751" s="24">
        <v>0.52091435185185186</v>
      </c>
      <c r="C751">
        <v>332.75</v>
      </c>
      <c r="E751">
        <v>39.729999999999997</v>
      </c>
      <c r="G751">
        <v>8.17</v>
      </c>
      <c r="I751">
        <v>36.97</v>
      </c>
      <c r="K751">
        <v>0</v>
      </c>
    </row>
    <row r="752" spans="1:11" x14ac:dyDescent="0.3">
      <c r="A752" s="24">
        <v>0.52162037037037035</v>
      </c>
      <c r="C752">
        <v>333.1</v>
      </c>
      <c r="E752">
        <v>40.08</v>
      </c>
      <c r="G752">
        <v>8.17</v>
      </c>
      <c r="I752">
        <v>36.99</v>
      </c>
      <c r="K752">
        <v>0</v>
      </c>
    </row>
    <row r="753" spans="1:11" x14ac:dyDescent="0.3">
      <c r="A753" s="24">
        <v>0.52231481481481479</v>
      </c>
      <c r="C753">
        <v>333.4</v>
      </c>
      <c r="E753">
        <v>39.729999999999997</v>
      </c>
      <c r="G753">
        <v>8.17</v>
      </c>
      <c r="I753">
        <v>36.99</v>
      </c>
      <c r="K753">
        <v>0</v>
      </c>
    </row>
    <row r="754" spans="1:11" x14ac:dyDescent="0.3">
      <c r="A754" s="24">
        <v>0.52298611111111104</v>
      </c>
      <c r="C754">
        <v>332.95</v>
      </c>
      <c r="E754">
        <v>40.18</v>
      </c>
      <c r="G754">
        <v>8.18</v>
      </c>
      <c r="I754">
        <v>37.01</v>
      </c>
      <c r="K754">
        <v>0</v>
      </c>
    </row>
    <row r="755" spans="1:11" x14ac:dyDescent="0.3">
      <c r="A755" s="24">
        <v>0.52368055555555559</v>
      </c>
      <c r="C755">
        <v>333.55</v>
      </c>
      <c r="E755">
        <v>39.909999999999997</v>
      </c>
      <c r="G755">
        <v>8.18</v>
      </c>
      <c r="I755">
        <v>37.07</v>
      </c>
      <c r="K755">
        <v>0</v>
      </c>
    </row>
    <row r="756" spans="1:11" x14ac:dyDescent="0.3">
      <c r="A756" s="24">
        <v>0.52437500000000004</v>
      </c>
      <c r="C756">
        <v>332.48</v>
      </c>
      <c r="E756">
        <v>40.130000000000003</v>
      </c>
      <c r="G756">
        <v>8.18</v>
      </c>
      <c r="I756">
        <v>37</v>
      </c>
      <c r="K756">
        <v>0</v>
      </c>
    </row>
    <row r="757" spans="1:11" x14ac:dyDescent="0.3">
      <c r="A757" s="24">
        <v>0.52506944444444448</v>
      </c>
      <c r="C757">
        <v>332.87</v>
      </c>
      <c r="E757">
        <v>40.590000000000003</v>
      </c>
      <c r="G757">
        <v>8.18</v>
      </c>
      <c r="I757">
        <v>36.979999999999997</v>
      </c>
      <c r="K757">
        <v>0</v>
      </c>
    </row>
    <row r="758" spans="1:11" x14ac:dyDescent="0.3">
      <c r="A758" s="24">
        <v>0.52576388888888892</v>
      </c>
      <c r="C758">
        <v>331.93</v>
      </c>
      <c r="E758">
        <v>40.25</v>
      </c>
      <c r="G758">
        <v>8.18</v>
      </c>
      <c r="I758">
        <v>36.979999999999997</v>
      </c>
      <c r="K758">
        <v>0</v>
      </c>
    </row>
    <row r="759" spans="1:11" x14ac:dyDescent="0.3">
      <c r="A759" s="24">
        <v>0.52645833333333336</v>
      </c>
      <c r="C759">
        <v>332.34</v>
      </c>
      <c r="E759">
        <v>39.76</v>
      </c>
      <c r="G759">
        <v>8.18</v>
      </c>
      <c r="I759">
        <v>37.020000000000003</v>
      </c>
      <c r="K759">
        <v>0</v>
      </c>
    </row>
    <row r="760" spans="1:11" x14ac:dyDescent="0.3">
      <c r="A760" s="24">
        <v>0.5271527777777778</v>
      </c>
      <c r="C760">
        <v>332.13</v>
      </c>
      <c r="E760">
        <v>40.15</v>
      </c>
      <c r="G760">
        <v>8.18</v>
      </c>
      <c r="I760">
        <v>36.99</v>
      </c>
      <c r="K760">
        <v>0</v>
      </c>
    </row>
    <row r="761" spans="1:11" x14ac:dyDescent="0.3">
      <c r="A761" s="24">
        <v>0.52785879629629628</v>
      </c>
      <c r="C761">
        <v>332.44</v>
      </c>
      <c r="E761">
        <v>40.21</v>
      </c>
      <c r="G761">
        <v>8.18</v>
      </c>
      <c r="I761">
        <v>36.979999999999997</v>
      </c>
      <c r="K761">
        <v>0</v>
      </c>
    </row>
    <row r="762" spans="1:11" x14ac:dyDescent="0.3">
      <c r="A762" s="24">
        <v>0.52855324074074073</v>
      </c>
      <c r="C762">
        <v>332.27</v>
      </c>
      <c r="E762">
        <v>40.159999999999997</v>
      </c>
      <c r="G762">
        <v>8.18</v>
      </c>
      <c r="I762">
        <v>37.03</v>
      </c>
      <c r="K762">
        <v>0</v>
      </c>
    </row>
    <row r="763" spans="1:11" x14ac:dyDescent="0.3">
      <c r="A763" s="24">
        <v>0.52924768518518517</v>
      </c>
      <c r="C763">
        <v>331.11</v>
      </c>
      <c r="E763">
        <v>40.24</v>
      </c>
      <c r="G763">
        <v>8.18</v>
      </c>
      <c r="I763">
        <v>37</v>
      </c>
      <c r="K763">
        <v>0</v>
      </c>
    </row>
    <row r="764" spans="1:11" x14ac:dyDescent="0.3">
      <c r="A764" s="24">
        <v>0.52994212962962961</v>
      </c>
      <c r="C764">
        <v>330.32</v>
      </c>
      <c r="E764">
        <v>39.92</v>
      </c>
      <c r="G764">
        <v>8.18</v>
      </c>
      <c r="I764">
        <v>36.99</v>
      </c>
      <c r="K764">
        <v>0</v>
      </c>
    </row>
    <row r="765" spans="1:11" x14ac:dyDescent="0.3">
      <c r="A765" s="24">
        <v>0.53063657407407405</v>
      </c>
      <c r="C765">
        <v>330.54</v>
      </c>
      <c r="E765">
        <v>40.08</v>
      </c>
      <c r="G765">
        <v>8.18</v>
      </c>
      <c r="I765">
        <v>37.07</v>
      </c>
      <c r="K765">
        <v>0</v>
      </c>
    </row>
    <row r="766" spans="1:11" x14ac:dyDescent="0.3">
      <c r="A766" s="24">
        <v>0.53133101851851849</v>
      </c>
      <c r="C766">
        <v>330.85</v>
      </c>
      <c r="E766">
        <v>40.07</v>
      </c>
      <c r="G766">
        <v>8.18</v>
      </c>
      <c r="I766">
        <v>37.04</v>
      </c>
      <c r="K766">
        <v>0</v>
      </c>
    </row>
    <row r="767" spans="1:11" x14ac:dyDescent="0.3">
      <c r="A767" s="24">
        <v>0.53202546296296294</v>
      </c>
      <c r="C767">
        <v>329.58</v>
      </c>
      <c r="E767">
        <v>40.4</v>
      </c>
      <c r="G767">
        <v>8.18</v>
      </c>
      <c r="I767">
        <v>37</v>
      </c>
      <c r="K767">
        <v>0</v>
      </c>
    </row>
    <row r="768" spans="1:11" x14ac:dyDescent="0.3">
      <c r="A768" s="24">
        <v>0.53271990740740738</v>
      </c>
      <c r="C768">
        <v>328.84</v>
      </c>
      <c r="E768">
        <v>40.28</v>
      </c>
      <c r="G768">
        <v>8.18</v>
      </c>
      <c r="I768">
        <v>37.020000000000003</v>
      </c>
      <c r="K768">
        <v>0</v>
      </c>
    </row>
    <row r="769" spans="1:11" x14ac:dyDescent="0.3">
      <c r="A769" s="24">
        <v>0.53341435185185182</v>
      </c>
      <c r="C769">
        <v>328.46</v>
      </c>
      <c r="E769">
        <v>40.31</v>
      </c>
      <c r="G769">
        <v>8.18</v>
      </c>
      <c r="I769">
        <v>37.04</v>
      </c>
      <c r="K769">
        <v>0</v>
      </c>
    </row>
    <row r="770" spans="1:11" x14ac:dyDescent="0.3">
      <c r="A770" s="24">
        <v>0.53412037037037041</v>
      </c>
      <c r="C770">
        <v>328.62</v>
      </c>
      <c r="E770">
        <v>39.92</v>
      </c>
      <c r="G770">
        <v>8.18</v>
      </c>
      <c r="I770">
        <v>37.03</v>
      </c>
      <c r="K770">
        <v>0</v>
      </c>
    </row>
    <row r="771" spans="1:11" x14ac:dyDescent="0.3">
      <c r="A771" s="24">
        <v>0.53479166666666667</v>
      </c>
      <c r="C771">
        <v>328.59</v>
      </c>
      <c r="E771">
        <v>39.92</v>
      </c>
      <c r="G771">
        <v>8.18</v>
      </c>
      <c r="I771">
        <v>36.97</v>
      </c>
      <c r="K771">
        <v>0</v>
      </c>
    </row>
    <row r="772" spans="1:11" x14ac:dyDescent="0.3">
      <c r="A772" s="24">
        <v>0.53548611111111111</v>
      </c>
      <c r="C772">
        <v>329.51</v>
      </c>
      <c r="E772">
        <v>39.99</v>
      </c>
      <c r="G772">
        <v>8.18</v>
      </c>
      <c r="I772">
        <v>36.97</v>
      </c>
      <c r="K772">
        <v>0</v>
      </c>
    </row>
    <row r="773" spans="1:11" x14ac:dyDescent="0.3">
      <c r="A773" s="24">
        <v>0.53618055555555555</v>
      </c>
      <c r="C773">
        <v>329.36</v>
      </c>
      <c r="E773">
        <v>40.31</v>
      </c>
      <c r="G773">
        <v>8.18</v>
      </c>
      <c r="I773">
        <v>36.99</v>
      </c>
      <c r="K773">
        <v>0</v>
      </c>
    </row>
    <row r="774" spans="1:11" x14ac:dyDescent="0.3">
      <c r="A774" s="24">
        <v>0.53687499999999999</v>
      </c>
      <c r="C774">
        <v>328.36</v>
      </c>
      <c r="E774">
        <v>40.159999999999997</v>
      </c>
      <c r="G774">
        <v>8.19</v>
      </c>
      <c r="I774">
        <v>37.06</v>
      </c>
      <c r="K774">
        <v>0</v>
      </c>
    </row>
    <row r="775" spans="1:11" x14ac:dyDescent="0.3">
      <c r="A775" s="24">
        <v>0.53756944444444443</v>
      </c>
      <c r="C775">
        <v>328.11</v>
      </c>
      <c r="E775">
        <v>40.03</v>
      </c>
      <c r="G775">
        <v>8.19</v>
      </c>
      <c r="I775">
        <v>36.92</v>
      </c>
      <c r="K775">
        <v>0</v>
      </c>
    </row>
    <row r="776" spans="1:11" x14ac:dyDescent="0.3">
      <c r="A776" s="24">
        <v>0.53826388888888888</v>
      </c>
      <c r="C776">
        <v>327.88</v>
      </c>
      <c r="E776">
        <v>40.22</v>
      </c>
      <c r="G776">
        <v>8.19</v>
      </c>
      <c r="I776">
        <v>36.89</v>
      </c>
      <c r="K776">
        <v>0</v>
      </c>
    </row>
    <row r="777" spans="1:11" x14ac:dyDescent="0.3">
      <c r="A777" s="24">
        <v>0.53895833333333332</v>
      </c>
      <c r="C777">
        <v>327.11</v>
      </c>
      <c r="E777">
        <v>40.6</v>
      </c>
      <c r="G777">
        <v>8.19</v>
      </c>
      <c r="I777">
        <v>36.97</v>
      </c>
      <c r="K777">
        <v>0</v>
      </c>
    </row>
    <row r="778" spans="1:11" x14ac:dyDescent="0.3">
      <c r="A778" s="24">
        <v>0.53966435185185191</v>
      </c>
      <c r="C778">
        <v>325.86</v>
      </c>
      <c r="E778">
        <v>40.65</v>
      </c>
      <c r="G778">
        <v>8.19</v>
      </c>
      <c r="I778">
        <v>36.97</v>
      </c>
      <c r="K778">
        <v>0</v>
      </c>
    </row>
    <row r="779" spans="1:11" x14ac:dyDescent="0.3">
      <c r="A779" s="24">
        <v>0.54035879629629624</v>
      </c>
      <c r="C779">
        <v>324.29000000000002</v>
      </c>
      <c r="E779">
        <v>40.71</v>
      </c>
      <c r="G779">
        <v>8.19</v>
      </c>
      <c r="I779">
        <v>37.020000000000003</v>
      </c>
      <c r="K779">
        <v>0</v>
      </c>
    </row>
    <row r="780" spans="1:11" x14ac:dyDescent="0.3">
      <c r="A780" s="24">
        <v>0.54105324074074079</v>
      </c>
      <c r="C780">
        <v>0</v>
      </c>
      <c r="E780">
        <v>35.6</v>
      </c>
      <c r="G780">
        <v>8.19</v>
      </c>
      <c r="I780">
        <v>37.020000000000003</v>
      </c>
      <c r="K780">
        <v>0</v>
      </c>
    </row>
    <row r="781" spans="1:11" x14ac:dyDescent="0.3">
      <c r="A781" s="24">
        <v>0.54174768518518512</v>
      </c>
      <c r="C781">
        <v>0</v>
      </c>
      <c r="E781">
        <v>0.03</v>
      </c>
      <c r="G781">
        <v>8.34</v>
      </c>
      <c r="I781">
        <v>30.62</v>
      </c>
      <c r="K781">
        <v>0</v>
      </c>
    </row>
    <row r="782" spans="1:11" x14ac:dyDescent="0.3">
      <c r="A782" s="24">
        <v>0.54244212962962968</v>
      </c>
      <c r="C782">
        <v>0</v>
      </c>
      <c r="E782">
        <v>-7.0000000000000007E-2</v>
      </c>
      <c r="G782">
        <v>8.34</v>
      </c>
      <c r="I782">
        <v>25.99</v>
      </c>
      <c r="K782">
        <v>0</v>
      </c>
    </row>
    <row r="783" spans="1:11" x14ac:dyDescent="0.3">
      <c r="A783" s="24">
        <v>0.54313657407407401</v>
      </c>
      <c r="C783">
        <v>0</v>
      </c>
      <c r="E783">
        <v>-0.08</v>
      </c>
      <c r="G783">
        <v>8.33</v>
      </c>
      <c r="I783">
        <v>25.18</v>
      </c>
      <c r="K783">
        <v>0</v>
      </c>
    </row>
    <row r="784" spans="1:11" x14ac:dyDescent="0.3">
      <c r="A784" s="24">
        <v>0.54383101851851856</v>
      </c>
      <c r="C784">
        <v>0</v>
      </c>
      <c r="E784">
        <v>-0.08</v>
      </c>
      <c r="G784">
        <v>8.33</v>
      </c>
      <c r="I784">
        <v>24.75</v>
      </c>
      <c r="K784">
        <v>0</v>
      </c>
    </row>
    <row r="785" spans="1:11" x14ac:dyDescent="0.3">
      <c r="A785" s="24">
        <v>0.54452546296296289</v>
      </c>
      <c r="C785">
        <v>0</v>
      </c>
      <c r="E785">
        <v>-0.08</v>
      </c>
      <c r="G785">
        <v>8.32</v>
      </c>
      <c r="I785">
        <v>24.76</v>
      </c>
      <c r="K785">
        <v>0</v>
      </c>
    </row>
    <row r="786" spans="1:11" x14ac:dyDescent="0.3">
      <c r="A786" s="24">
        <v>0.54521990740740744</v>
      </c>
      <c r="C786">
        <v>0</v>
      </c>
      <c r="E786">
        <v>-0.09</v>
      </c>
      <c r="G786">
        <v>8.32</v>
      </c>
      <c r="I786">
        <v>24.95</v>
      </c>
      <c r="K786">
        <v>0</v>
      </c>
    </row>
    <row r="787" spans="1:11" x14ac:dyDescent="0.3">
      <c r="A787" s="24">
        <v>0.54592592592592593</v>
      </c>
      <c r="C787">
        <v>0</v>
      </c>
      <c r="E787">
        <v>-0.09</v>
      </c>
      <c r="G787">
        <v>8.32</v>
      </c>
      <c r="I787">
        <v>24.95</v>
      </c>
      <c r="K787">
        <v>0</v>
      </c>
    </row>
    <row r="788" spans="1:11" x14ac:dyDescent="0.3">
      <c r="A788" s="24">
        <v>0.54659722222222229</v>
      </c>
      <c r="C788">
        <v>0</v>
      </c>
      <c r="E788">
        <v>-0.09</v>
      </c>
      <c r="G788">
        <v>8.32</v>
      </c>
      <c r="I788">
        <v>24.96</v>
      </c>
      <c r="K788">
        <v>0</v>
      </c>
    </row>
    <row r="789" spans="1:11" x14ac:dyDescent="0.3">
      <c r="A789" s="24">
        <v>0.54729166666666662</v>
      </c>
      <c r="C789">
        <v>0</v>
      </c>
      <c r="E789">
        <v>-0.09</v>
      </c>
      <c r="G789">
        <v>8.32</v>
      </c>
      <c r="I789">
        <v>24.92</v>
      </c>
      <c r="K789">
        <v>0</v>
      </c>
    </row>
    <row r="790" spans="1:11" x14ac:dyDescent="0.3">
      <c r="A790" s="24">
        <v>0.54798611111111117</v>
      </c>
      <c r="C790">
        <v>0</v>
      </c>
      <c r="E790">
        <v>-0.09</v>
      </c>
      <c r="G790">
        <v>8.31</v>
      </c>
      <c r="I790">
        <v>24.96</v>
      </c>
      <c r="K790">
        <v>0</v>
      </c>
    </row>
    <row r="791" spans="1:11" x14ac:dyDescent="0.3">
      <c r="A791" s="24">
        <v>0.5486805555555555</v>
      </c>
      <c r="C791">
        <v>0</v>
      </c>
      <c r="E791">
        <v>-0.08</v>
      </c>
      <c r="G791">
        <v>8.31</v>
      </c>
      <c r="I791">
        <v>24.98</v>
      </c>
      <c r="K791">
        <v>0</v>
      </c>
    </row>
    <row r="792" spans="1:11" x14ac:dyDescent="0.3">
      <c r="A792" s="24">
        <v>0.54937500000000006</v>
      </c>
      <c r="C792">
        <v>0</v>
      </c>
      <c r="E792">
        <v>-0.09</v>
      </c>
      <c r="G792">
        <v>8.31</v>
      </c>
      <c r="I792">
        <v>24.95</v>
      </c>
      <c r="K792">
        <v>0</v>
      </c>
    </row>
    <row r="793" spans="1:11" x14ac:dyDescent="0.3">
      <c r="A793" s="24">
        <v>0.55006944444444439</v>
      </c>
      <c r="C793">
        <v>0</v>
      </c>
      <c r="E793">
        <v>-0.09</v>
      </c>
      <c r="G793">
        <v>8.31</v>
      </c>
      <c r="I793">
        <v>24.93</v>
      </c>
      <c r="K793">
        <v>0</v>
      </c>
    </row>
    <row r="794" spans="1:11" x14ac:dyDescent="0.3">
      <c r="A794" s="24">
        <v>0.55076388888888894</v>
      </c>
      <c r="C794">
        <v>0</v>
      </c>
      <c r="E794">
        <v>-0.09</v>
      </c>
      <c r="G794">
        <v>8.31</v>
      </c>
      <c r="I794">
        <v>24.94</v>
      </c>
      <c r="K794">
        <v>0</v>
      </c>
    </row>
    <row r="795" spans="1:11" x14ac:dyDescent="0.3">
      <c r="A795" s="24">
        <v>0.55145833333333327</v>
      </c>
      <c r="C795">
        <v>0</v>
      </c>
      <c r="E795">
        <v>-0.08</v>
      </c>
      <c r="G795">
        <v>8.32</v>
      </c>
      <c r="I795">
        <v>24.97</v>
      </c>
      <c r="K795">
        <v>0</v>
      </c>
    </row>
    <row r="796" spans="1:11" x14ac:dyDescent="0.3">
      <c r="A796" s="24">
        <v>0.55216435185185186</v>
      </c>
      <c r="C796">
        <v>0</v>
      </c>
      <c r="E796">
        <v>-0.09</v>
      </c>
      <c r="G796">
        <v>8.32</v>
      </c>
      <c r="I796">
        <v>25</v>
      </c>
      <c r="K796">
        <v>0</v>
      </c>
    </row>
    <row r="797" spans="1:11" x14ac:dyDescent="0.3">
      <c r="A797" s="24">
        <v>0.55285879629629631</v>
      </c>
      <c r="C797">
        <v>0</v>
      </c>
      <c r="E797">
        <v>-0.09</v>
      </c>
      <c r="G797">
        <v>8.32</v>
      </c>
      <c r="I797">
        <v>25.01</v>
      </c>
      <c r="K797">
        <v>0</v>
      </c>
    </row>
    <row r="798" spans="1:11" x14ac:dyDescent="0.3">
      <c r="A798" s="24">
        <v>0.55355324074074075</v>
      </c>
      <c r="C798">
        <v>0</v>
      </c>
      <c r="E798">
        <v>-0.09</v>
      </c>
      <c r="G798">
        <v>8.32</v>
      </c>
      <c r="I798">
        <v>24.93</v>
      </c>
      <c r="K798">
        <v>0</v>
      </c>
    </row>
    <row r="799" spans="1:11" x14ac:dyDescent="0.3">
      <c r="A799" s="24">
        <v>0.55424768518518519</v>
      </c>
      <c r="C799">
        <v>0</v>
      </c>
      <c r="E799">
        <v>-0.09</v>
      </c>
      <c r="G799">
        <v>8.32</v>
      </c>
      <c r="I799">
        <v>25.03</v>
      </c>
      <c r="K799">
        <v>0</v>
      </c>
    </row>
    <row r="800" spans="1:11" x14ac:dyDescent="0.3">
      <c r="A800" s="24">
        <v>0.55494212962962963</v>
      </c>
      <c r="C800">
        <v>0</v>
      </c>
      <c r="E800">
        <v>-0.09</v>
      </c>
      <c r="G800">
        <v>8.32</v>
      </c>
      <c r="I800">
        <v>25</v>
      </c>
      <c r="K800">
        <v>0</v>
      </c>
    </row>
    <row r="801" spans="1:11" x14ac:dyDescent="0.3">
      <c r="A801" s="24">
        <v>0.55563657407407407</v>
      </c>
      <c r="C801">
        <v>0</v>
      </c>
      <c r="E801">
        <v>-0.08</v>
      </c>
      <c r="G801">
        <v>8.32</v>
      </c>
      <c r="I801">
        <v>25.02</v>
      </c>
      <c r="K801">
        <v>0</v>
      </c>
    </row>
    <row r="802" spans="1:11" x14ac:dyDescent="0.3">
      <c r="A802" s="24">
        <v>0.55633101851851852</v>
      </c>
      <c r="C802">
        <v>0</v>
      </c>
      <c r="E802">
        <v>-0.09</v>
      </c>
      <c r="G802">
        <v>8.32</v>
      </c>
      <c r="I802">
        <v>25.07</v>
      </c>
      <c r="K802">
        <v>0</v>
      </c>
    </row>
    <row r="803" spans="1:11" x14ac:dyDescent="0.3">
      <c r="A803" s="24">
        <v>0.55702546296296296</v>
      </c>
      <c r="C803">
        <v>0</v>
      </c>
      <c r="E803">
        <v>-0.09</v>
      </c>
      <c r="G803">
        <v>8.32</v>
      </c>
      <c r="I803">
        <v>25.08</v>
      </c>
      <c r="K803">
        <v>0</v>
      </c>
    </row>
    <row r="804" spans="1:11" x14ac:dyDescent="0.3">
      <c r="A804" s="24">
        <v>0.55773148148148144</v>
      </c>
      <c r="C804">
        <v>0</v>
      </c>
      <c r="E804">
        <v>-0.09</v>
      </c>
      <c r="G804">
        <v>8.32</v>
      </c>
      <c r="I804">
        <v>25.13</v>
      </c>
      <c r="K804">
        <v>0</v>
      </c>
    </row>
    <row r="805" spans="1:11" x14ac:dyDescent="0.3">
      <c r="A805" s="24">
        <v>0.55842592592592599</v>
      </c>
      <c r="C805">
        <v>0</v>
      </c>
      <c r="E805">
        <v>-0.09</v>
      </c>
      <c r="G805">
        <v>8.32</v>
      </c>
      <c r="I805">
        <v>25.1</v>
      </c>
      <c r="K805">
        <v>0</v>
      </c>
    </row>
    <row r="806" spans="1:11" x14ac:dyDescent="0.3">
      <c r="A806" s="24">
        <v>0.55909722222222225</v>
      </c>
      <c r="C806">
        <v>0</v>
      </c>
      <c r="E806">
        <v>-0.09</v>
      </c>
      <c r="G806">
        <v>8.32</v>
      </c>
      <c r="I806">
        <v>25.1</v>
      </c>
      <c r="K806">
        <v>0</v>
      </c>
    </row>
    <row r="807" spans="1:11" x14ac:dyDescent="0.3">
      <c r="A807" s="24">
        <v>0.55979166666666669</v>
      </c>
      <c r="C807">
        <v>0</v>
      </c>
      <c r="E807">
        <v>-0.09</v>
      </c>
      <c r="G807">
        <v>8.32</v>
      </c>
      <c r="I807">
        <v>25.14</v>
      </c>
      <c r="K807">
        <v>0</v>
      </c>
    </row>
    <row r="808" spans="1:11" x14ac:dyDescent="0.3">
      <c r="A808" s="24">
        <v>0.56048611111111113</v>
      </c>
      <c r="C808">
        <v>0</v>
      </c>
      <c r="E808">
        <v>-0.09</v>
      </c>
      <c r="G808">
        <v>8.32</v>
      </c>
      <c r="I808">
        <v>25.05</v>
      </c>
      <c r="K808">
        <v>0</v>
      </c>
    </row>
    <row r="809" spans="1:11" x14ac:dyDescent="0.3">
      <c r="A809" s="24">
        <v>0.56118055555555557</v>
      </c>
      <c r="C809">
        <v>0</v>
      </c>
      <c r="E809">
        <v>-0.09</v>
      </c>
      <c r="G809">
        <v>8.33</v>
      </c>
      <c r="I809">
        <v>25.11</v>
      </c>
      <c r="K809">
        <v>0</v>
      </c>
    </row>
    <row r="810" spans="1:11" x14ac:dyDescent="0.3">
      <c r="A810" s="24">
        <v>0.56187500000000001</v>
      </c>
      <c r="C810">
        <v>0</v>
      </c>
      <c r="E810">
        <v>-0.09</v>
      </c>
      <c r="G810">
        <v>8.33</v>
      </c>
      <c r="I810">
        <v>25.19</v>
      </c>
      <c r="K810">
        <v>0</v>
      </c>
    </row>
    <row r="811" spans="1:11" x14ac:dyDescent="0.3">
      <c r="A811" s="24">
        <v>0.56256944444444446</v>
      </c>
      <c r="C811">
        <v>0</v>
      </c>
      <c r="E811">
        <v>-0.09</v>
      </c>
      <c r="G811">
        <v>8.33</v>
      </c>
      <c r="I811">
        <v>25.2</v>
      </c>
      <c r="K811">
        <v>0</v>
      </c>
    </row>
    <row r="812" spans="1:11" x14ac:dyDescent="0.3">
      <c r="A812" s="24">
        <v>0.5632638888888889</v>
      </c>
      <c r="C812">
        <v>0</v>
      </c>
      <c r="E812">
        <v>-0.09</v>
      </c>
      <c r="G812">
        <v>8.33</v>
      </c>
      <c r="I812">
        <v>25.2</v>
      </c>
      <c r="K812">
        <v>0</v>
      </c>
    </row>
    <row r="813" spans="1:11" x14ac:dyDescent="0.3">
      <c r="A813" s="24">
        <v>0.56396990740740738</v>
      </c>
      <c r="C813">
        <v>0</v>
      </c>
      <c r="E813">
        <v>-0.09</v>
      </c>
      <c r="G813">
        <v>8.33</v>
      </c>
      <c r="I813">
        <v>25.24</v>
      </c>
      <c r="K813">
        <v>0</v>
      </c>
    </row>
    <row r="814" spans="1:11" x14ac:dyDescent="0.3">
      <c r="A814" s="24">
        <v>0.56466435185185182</v>
      </c>
      <c r="C814">
        <v>0</v>
      </c>
      <c r="E814">
        <v>-0.09</v>
      </c>
      <c r="G814">
        <v>8.33</v>
      </c>
      <c r="I814">
        <v>25.23</v>
      </c>
      <c r="K814">
        <v>0</v>
      </c>
    </row>
    <row r="815" spans="1:11" x14ac:dyDescent="0.3">
      <c r="A815" s="24">
        <v>0.56535879629629626</v>
      </c>
      <c r="C815">
        <v>0</v>
      </c>
      <c r="E815">
        <v>-0.09</v>
      </c>
      <c r="G815">
        <v>8.33</v>
      </c>
      <c r="I815">
        <v>25.26</v>
      </c>
      <c r="K815">
        <v>0</v>
      </c>
    </row>
    <row r="816" spans="1:11" x14ac:dyDescent="0.3">
      <c r="A816" s="24">
        <v>0.5660532407407407</v>
      </c>
      <c r="C816">
        <v>0</v>
      </c>
      <c r="E816">
        <v>-0.08</v>
      </c>
      <c r="G816">
        <v>8.33</v>
      </c>
      <c r="I816">
        <v>25.29</v>
      </c>
      <c r="K816">
        <v>0</v>
      </c>
    </row>
    <row r="817" spans="1:11" x14ac:dyDescent="0.3">
      <c r="A817" s="24">
        <v>0.56674768518518526</v>
      </c>
      <c r="C817">
        <v>0</v>
      </c>
      <c r="E817">
        <v>-0.08</v>
      </c>
      <c r="G817">
        <v>8.33</v>
      </c>
      <c r="I817">
        <v>25.37</v>
      </c>
      <c r="K817">
        <v>0</v>
      </c>
    </row>
    <row r="818" spans="1:11" x14ac:dyDescent="0.3">
      <c r="A818" s="24">
        <v>0.56744212962962959</v>
      </c>
      <c r="C818">
        <v>0</v>
      </c>
      <c r="E818">
        <v>-0.09</v>
      </c>
      <c r="G818">
        <v>8.34</v>
      </c>
      <c r="I818">
        <v>25.35</v>
      </c>
      <c r="K818">
        <v>0</v>
      </c>
    </row>
    <row r="819" spans="1:11" x14ac:dyDescent="0.3">
      <c r="A819" s="24">
        <v>0.56813657407407414</v>
      </c>
      <c r="C819">
        <v>0</v>
      </c>
      <c r="E819">
        <v>-0.09</v>
      </c>
      <c r="G819">
        <v>8.34</v>
      </c>
      <c r="I819">
        <v>25.35</v>
      </c>
      <c r="K819">
        <v>0</v>
      </c>
    </row>
    <row r="820" spans="1:11" x14ac:dyDescent="0.3">
      <c r="A820" s="24">
        <v>0.56883101851851847</v>
      </c>
      <c r="C820">
        <v>0</v>
      </c>
      <c r="E820">
        <v>-0.09</v>
      </c>
      <c r="G820">
        <v>8.34</v>
      </c>
      <c r="I820">
        <v>25.34</v>
      </c>
      <c r="K820">
        <v>0</v>
      </c>
    </row>
    <row r="821" spans="1:11" x14ac:dyDescent="0.3">
      <c r="A821" s="24">
        <v>0.56953703703703706</v>
      </c>
      <c r="C821">
        <v>0</v>
      </c>
      <c r="E821">
        <v>-0.09</v>
      </c>
      <c r="G821">
        <v>8.34</v>
      </c>
      <c r="I821">
        <v>25.43</v>
      </c>
      <c r="K821">
        <v>0</v>
      </c>
    </row>
    <row r="822" spans="1:11" x14ac:dyDescent="0.3">
      <c r="A822" s="24">
        <v>0.57023148148148151</v>
      </c>
      <c r="C822">
        <v>0</v>
      </c>
      <c r="E822">
        <v>-0.09</v>
      </c>
      <c r="G822">
        <v>8.34</v>
      </c>
      <c r="I822">
        <v>25.35</v>
      </c>
      <c r="K822">
        <v>0</v>
      </c>
    </row>
    <row r="823" spans="1:11" x14ac:dyDescent="0.3">
      <c r="A823" s="24">
        <v>0.57090277777777776</v>
      </c>
      <c r="C823">
        <v>0</v>
      </c>
      <c r="E823">
        <v>-0.1</v>
      </c>
      <c r="G823">
        <v>8.34</v>
      </c>
      <c r="I823">
        <v>25.38</v>
      </c>
      <c r="K823">
        <v>0</v>
      </c>
    </row>
    <row r="824" spans="1:11" x14ac:dyDescent="0.3">
      <c r="A824" s="24">
        <v>0.5715972222222222</v>
      </c>
      <c r="C824">
        <v>0</v>
      </c>
      <c r="E824">
        <v>-0.09</v>
      </c>
      <c r="G824">
        <v>8.34</v>
      </c>
      <c r="I824">
        <v>25.34</v>
      </c>
      <c r="K824">
        <v>0</v>
      </c>
    </row>
    <row r="825" spans="1:11" x14ac:dyDescent="0.3">
      <c r="A825" s="24">
        <v>0.57229166666666664</v>
      </c>
      <c r="C825">
        <v>0</v>
      </c>
      <c r="E825">
        <v>-0.09</v>
      </c>
      <c r="G825">
        <v>8.34</v>
      </c>
      <c r="I825">
        <v>25.31</v>
      </c>
      <c r="K825">
        <v>0</v>
      </c>
    </row>
    <row r="826" spans="1:11" x14ac:dyDescent="0.3">
      <c r="A826" s="24">
        <v>0.57298611111111108</v>
      </c>
      <c r="C826">
        <v>0</v>
      </c>
      <c r="E826">
        <v>-0.09</v>
      </c>
      <c r="G826">
        <v>8.34</v>
      </c>
      <c r="I826">
        <v>25.27</v>
      </c>
      <c r="K826">
        <v>0</v>
      </c>
    </row>
    <row r="827" spans="1:11" x14ac:dyDescent="0.3">
      <c r="A827" s="24">
        <v>0.57368055555555553</v>
      </c>
      <c r="C827">
        <v>0</v>
      </c>
      <c r="E827">
        <v>-0.09</v>
      </c>
      <c r="G827">
        <v>8.35</v>
      </c>
      <c r="I827">
        <v>25.34</v>
      </c>
      <c r="K827">
        <v>0</v>
      </c>
    </row>
    <row r="828" spans="1:11" x14ac:dyDescent="0.3">
      <c r="A828" s="24">
        <v>0.57437499999999997</v>
      </c>
      <c r="C828">
        <v>0</v>
      </c>
      <c r="E828">
        <v>-0.09</v>
      </c>
      <c r="G828">
        <v>8.35</v>
      </c>
      <c r="I828">
        <v>25.37</v>
      </c>
      <c r="K828">
        <v>0</v>
      </c>
    </row>
    <row r="829" spans="1:11" x14ac:dyDescent="0.3">
      <c r="A829" s="24">
        <v>0.57506944444444441</v>
      </c>
      <c r="C829">
        <v>0</v>
      </c>
      <c r="E829">
        <v>-0.1</v>
      </c>
      <c r="G829">
        <v>8.35</v>
      </c>
      <c r="I829">
        <v>25.34</v>
      </c>
      <c r="K829">
        <v>0</v>
      </c>
    </row>
    <row r="830" spans="1:11" x14ac:dyDescent="0.3">
      <c r="A830" s="24">
        <v>0.57577546296296289</v>
      </c>
      <c r="C830">
        <v>0</v>
      </c>
      <c r="E830">
        <v>-0.09</v>
      </c>
      <c r="G830">
        <v>8.35</v>
      </c>
      <c r="I830">
        <v>25.34</v>
      </c>
      <c r="K830">
        <v>0</v>
      </c>
    </row>
    <row r="831" spans="1:11" x14ac:dyDescent="0.3">
      <c r="A831" s="24">
        <v>0.57646990740740744</v>
      </c>
      <c r="C831">
        <v>0</v>
      </c>
      <c r="E831">
        <v>-0.09</v>
      </c>
      <c r="G831">
        <v>8.35</v>
      </c>
      <c r="I831">
        <v>25.34</v>
      </c>
      <c r="K831">
        <v>0</v>
      </c>
    </row>
    <row r="832" spans="1:11" x14ac:dyDescent="0.3">
      <c r="A832" s="24">
        <v>0.57716435185185189</v>
      </c>
      <c r="C832">
        <v>0</v>
      </c>
      <c r="E832">
        <v>-0.09</v>
      </c>
      <c r="G832">
        <v>8.35</v>
      </c>
      <c r="I832">
        <v>25.31</v>
      </c>
      <c r="K832">
        <v>0</v>
      </c>
    </row>
    <row r="833" spans="1:11" x14ac:dyDescent="0.3">
      <c r="A833" s="24">
        <v>0.57785879629629633</v>
      </c>
      <c r="C833">
        <v>0</v>
      </c>
      <c r="E833">
        <v>-0.09</v>
      </c>
      <c r="G833">
        <v>8.35</v>
      </c>
      <c r="I833">
        <v>25.37</v>
      </c>
      <c r="K833">
        <v>0</v>
      </c>
    </row>
    <row r="834" spans="1:11" x14ac:dyDescent="0.3">
      <c r="A834" s="24">
        <v>0.57855324074074077</v>
      </c>
      <c r="C834">
        <v>0</v>
      </c>
      <c r="E834">
        <v>-0.09</v>
      </c>
      <c r="G834">
        <v>8.36</v>
      </c>
      <c r="I834">
        <v>25.32</v>
      </c>
      <c r="K834">
        <v>0</v>
      </c>
    </row>
    <row r="835" spans="1:11" x14ac:dyDescent="0.3">
      <c r="A835" s="24">
        <v>0.57924768518518521</v>
      </c>
      <c r="C835">
        <v>0</v>
      </c>
      <c r="E835">
        <v>-0.09</v>
      </c>
      <c r="G835">
        <v>8.36</v>
      </c>
      <c r="I835">
        <v>25.31</v>
      </c>
      <c r="K835">
        <v>0</v>
      </c>
    </row>
    <row r="836" spans="1:11" x14ac:dyDescent="0.3">
      <c r="A836" s="24">
        <v>0.57994212962962965</v>
      </c>
      <c r="C836">
        <v>0</v>
      </c>
      <c r="E836">
        <v>-0.09</v>
      </c>
      <c r="G836">
        <v>8.36</v>
      </c>
      <c r="I836">
        <v>25.34</v>
      </c>
      <c r="K836">
        <v>0</v>
      </c>
    </row>
    <row r="837" spans="1:11" x14ac:dyDescent="0.3">
      <c r="A837" s="24">
        <v>0.5806365740740741</v>
      </c>
      <c r="C837">
        <v>0</v>
      </c>
      <c r="E837">
        <v>-0.09</v>
      </c>
      <c r="G837">
        <v>8.36</v>
      </c>
      <c r="I837">
        <v>25.35</v>
      </c>
      <c r="K837">
        <v>0</v>
      </c>
    </row>
    <row r="838" spans="1:11" x14ac:dyDescent="0.3">
      <c r="A838" s="24">
        <v>0.58133101851851854</v>
      </c>
      <c r="C838">
        <v>0</v>
      </c>
      <c r="E838">
        <v>-0.09</v>
      </c>
      <c r="G838">
        <v>8.36</v>
      </c>
      <c r="I838">
        <v>25.33</v>
      </c>
      <c r="K838">
        <v>0</v>
      </c>
    </row>
    <row r="839" spans="1:11" x14ac:dyDescent="0.3">
      <c r="A839" s="24">
        <v>0.58203703703703702</v>
      </c>
      <c r="C839">
        <v>0</v>
      </c>
      <c r="E839">
        <v>-0.09</v>
      </c>
      <c r="G839">
        <v>8.36</v>
      </c>
      <c r="I839">
        <v>25.34</v>
      </c>
      <c r="K839">
        <v>0</v>
      </c>
    </row>
    <row r="840" spans="1:11" x14ac:dyDescent="0.3">
      <c r="A840" s="24">
        <v>0.58270833333333327</v>
      </c>
      <c r="C840">
        <v>0</v>
      </c>
      <c r="E840">
        <v>-0.09</v>
      </c>
      <c r="G840">
        <v>8.36</v>
      </c>
      <c r="I840">
        <v>25.37</v>
      </c>
      <c r="K840">
        <v>0</v>
      </c>
    </row>
    <row r="841" spans="1:11" x14ac:dyDescent="0.3">
      <c r="A841" s="24">
        <v>0.58340277777777783</v>
      </c>
      <c r="C841">
        <v>0</v>
      </c>
      <c r="E841">
        <v>-0.09</v>
      </c>
      <c r="G841">
        <v>8.3699999999999992</v>
      </c>
      <c r="I841">
        <v>25.33</v>
      </c>
      <c r="K841">
        <v>0</v>
      </c>
    </row>
    <row r="842" spans="1:11" x14ac:dyDescent="0.3">
      <c r="A842" s="24">
        <v>0.58409722222222216</v>
      </c>
      <c r="C842">
        <v>0</v>
      </c>
      <c r="E842">
        <v>-0.1</v>
      </c>
      <c r="G842">
        <v>8.3699999999999992</v>
      </c>
      <c r="I842">
        <v>25.42</v>
      </c>
      <c r="K842">
        <v>0</v>
      </c>
    </row>
    <row r="843" spans="1:11" x14ac:dyDescent="0.3">
      <c r="A843" s="24">
        <v>0.58479166666666671</v>
      </c>
      <c r="C843">
        <v>0</v>
      </c>
      <c r="E843">
        <v>-0.09</v>
      </c>
      <c r="G843">
        <v>8.3699999999999992</v>
      </c>
      <c r="I843">
        <v>25.37</v>
      </c>
      <c r="K843">
        <v>0</v>
      </c>
    </row>
    <row r="844" spans="1:11" x14ac:dyDescent="0.3">
      <c r="A844" s="24">
        <v>0.58548611111111104</v>
      </c>
      <c r="C844">
        <v>0</v>
      </c>
      <c r="E844">
        <v>-0.09</v>
      </c>
      <c r="G844">
        <v>8.3699999999999992</v>
      </c>
      <c r="I844">
        <v>25.38</v>
      </c>
      <c r="K844">
        <v>0</v>
      </c>
    </row>
    <row r="845" spans="1:11" x14ac:dyDescent="0.3">
      <c r="A845" s="24">
        <v>0.58618055555555559</v>
      </c>
      <c r="C845">
        <v>0</v>
      </c>
      <c r="E845">
        <v>-0.09</v>
      </c>
      <c r="G845">
        <v>8.3699999999999992</v>
      </c>
      <c r="I845">
        <v>25.33</v>
      </c>
      <c r="K845">
        <v>0</v>
      </c>
    </row>
    <row r="846" spans="1:11" x14ac:dyDescent="0.3">
      <c r="A846" s="24">
        <v>0.58687500000000004</v>
      </c>
      <c r="C846">
        <v>0</v>
      </c>
      <c r="E846">
        <v>-0.08</v>
      </c>
      <c r="G846">
        <v>8.3699999999999992</v>
      </c>
      <c r="I846">
        <v>25.32</v>
      </c>
      <c r="K846">
        <v>0</v>
      </c>
    </row>
    <row r="847" spans="1:11" x14ac:dyDescent="0.3">
      <c r="A847" s="24">
        <v>0.58758101851851852</v>
      </c>
      <c r="C847">
        <v>0</v>
      </c>
      <c r="E847">
        <v>-0.08</v>
      </c>
      <c r="G847">
        <v>8.3699999999999992</v>
      </c>
      <c r="I847">
        <v>25.39</v>
      </c>
      <c r="K847">
        <v>0</v>
      </c>
    </row>
    <row r="848" spans="1:11" x14ac:dyDescent="0.3">
      <c r="A848" s="24">
        <v>0.58827546296296296</v>
      </c>
      <c r="C848">
        <v>0</v>
      </c>
      <c r="E848">
        <v>-0.09</v>
      </c>
      <c r="G848">
        <v>8.3800000000000008</v>
      </c>
      <c r="I848">
        <v>25.4</v>
      </c>
      <c r="K848">
        <v>0</v>
      </c>
    </row>
    <row r="849" spans="1:11" x14ac:dyDescent="0.3">
      <c r="A849" s="24">
        <v>0.5889699074074074</v>
      </c>
      <c r="C849">
        <v>0</v>
      </c>
      <c r="E849">
        <v>-0.09</v>
      </c>
      <c r="G849">
        <v>8.3800000000000008</v>
      </c>
      <c r="I849">
        <v>25.36</v>
      </c>
      <c r="K849">
        <v>0</v>
      </c>
    </row>
    <row r="850" spans="1:11" x14ac:dyDescent="0.3">
      <c r="A850" s="24">
        <v>0.58966435185185184</v>
      </c>
      <c r="C850">
        <v>0</v>
      </c>
      <c r="E850">
        <v>-0.09</v>
      </c>
      <c r="G850">
        <v>8.3800000000000008</v>
      </c>
      <c r="I850">
        <v>25.38</v>
      </c>
      <c r="K850">
        <v>0</v>
      </c>
    </row>
    <row r="851" spans="1:11" x14ac:dyDescent="0.3">
      <c r="A851" s="24">
        <v>0.59035879629629628</v>
      </c>
      <c r="C851">
        <v>0</v>
      </c>
      <c r="E851">
        <v>-0.09</v>
      </c>
      <c r="G851">
        <v>8.3800000000000008</v>
      </c>
      <c r="I851">
        <v>25.39</v>
      </c>
      <c r="K851">
        <v>0</v>
      </c>
    </row>
    <row r="852" spans="1:11" x14ac:dyDescent="0.3">
      <c r="A852" s="24">
        <v>0.59105324074074073</v>
      </c>
      <c r="C852">
        <v>0</v>
      </c>
      <c r="E852">
        <v>-0.08</v>
      </c>
      <c r="G852">
        <v>8.3800000000000008</v>
      </c>
      <c r="I852">
        <v>25.37</v>
      </c>
      <c r="K852">
        <v>0</v>
      </c>
    </row>
    <row r="853" spans="1:11" x14ac:dyDescent="0.3">
      <c r="A853" s="24">
        <v>0.59174768518518517</v>
      </c>
      <c r="C853">
        <v>0</v>
      </c>
      <c r="E853">
        <v>-0.09</v>
      </c>
      <c r="G853">
        <v>8.3800000000000008</v>
      </c>
      <c r="I853">
        <v>25.4</v>
      </c>
      <c r="K853">
        <v>0</v>
      </c>
    </row>
    <row r="854" spans="1:11" x14ac:dyDescent="0.3">
      <c r="A854" s="24">
        <v>0.59244212962962961</v>
      </c>
      <c r="C854">
        <v>0</v>
      </c>
      <c r="E854">
        <v>-0.09</v>
      </c>
      <c r="G854">
        <v>8.39</v>
      </c>
      <c r="I854">
        <v>25.37</v>
      </c>
      <c r="K854">
        <v>0</v>
      </c>
    </row>
    <row r="855" spans="1:11" x14ac:dyDescent="0.3">
      <c r="A855" s="24">
        <v>0.59313657407407405</v>
      </c>
      <c r="C855">
        <v>0</v>
      </c>
      <c r="E855">
        <v>-0.09</v>
      </c>
      <c r="G855">
        <v>8.39</v>
      </c>
      <c r="I855">
        <v>25.33</v>
      </c>
      <c r="K855">
        <v>0</v>
      </c>
    </row>
    <row r="856" spans="1:11" x14ac:dyDescent="0.3">
      <c r="A856" s="24">
        <v>0.59384259259259264</v>
      </c>
      <c r="C856">
        <v>0</v>
      </c>
      <c r="E856">
        <v>-0.09</v>
      </c>
      <c r="G856">
        <v>8.39</v>
      </c>
      <c r="I856">
        <v>25.36</v>
      </c>
      <c r="K856">
        <v>0</v>
      </c>
    </row>
    <row r="857" spans="1:11" x14ac:dyDescent="0.3">
      <c r="A857" s="24">
        <v>0.5945138888888889</v>
      </c>
      <c r="C857">
        <v>0</v>
      </c>
      <c r="E857">
        <v>-0.09</v>
      </c>
      <c r="G857">
        <v>8.39</v>
      </c>
      <c r="I857">
        <v>25.4</v>
      </c>
      <c r="K857">
        <v>0</v>
      </c>
    </row>
    <row r="858" spans="1:11" x14ac:dyDescent="0.3">
      <c r="A858" s="24">
        <v>0.59520833333333334</v>
      </c>
      <c r="C858">
        <v>0</v>
      </c>
      <c r="E858">
        <v>-0.09</v>
      </c>
      <c r="G858">
        <v>8.39</v>
      </c>
      <c r="I858">
        <v>25.41</v>
      </c>
      <c r="K858">
        <v>0</v>
      </c>
    </row>
    <row r="859" spans="1:11" x14ac:dyDescent="0.3">
      <c r="A859" s="24">
        <v>0.59590277777777778</v>
      </c>
      <c r="C859">
        <v>0</v>
      </c>
      <c r="E859">
        <v>-0.1</v>
      </c>
      <c r="G859">
        <v>8.39</v>
      </c>
      <c r="I859">
        <v>25.35</v>
      </c>
      <c r="K859">
        <v>0</v>
      </c>
    </row>
    <row r="860" spans="1:11" x14ac:dyDescent="0.3">
      <c r="A860" s="24">
        <v>0.59659722222222222</v>
      </c>
      <c r="C860">
        <v>0</v>
      </c>
      <c r="E860">
        <v>-0.1</v>
      </c>
      <c r="G860">
        <v>8.39</v>
      </c>
      <c r="I860">
        <v>25.38</v>
      </c>
      <c r="K860">
        <v>0</v>
      </c>
    </row>
    <row r="861" spans="1:11" x14ac:dyDescent="0.3">
      <c r="A861" s="24">
        <v>0.59729166666666667</v>
      </c>
      <c r="C861">
        <v>0</v>
      </c>
      <c r="E861">
        <v>-0.09</v>
      </c>
      <c r="G861">
        <v>8.4</v>
      </c>
      <c r="I861">
        <v>25.39</v>
      </c>
      <c r="K861">
        <v>0</v>
      </c>
    </row>
    <row r="862" spans="1:11" x14ac:dyDescent="0.3">
      <c r="A862" s="24">
        <v>0.59798611111111111</v>
      </c>
      <c r="C862">
        <v>0</v>
      </c>
      <c r="E862">
        <v>-0.09</v>
      </c>
      <c r="G862">
        <v>8.4</v>
      </c>
      <c r="I862">
        <v>25.37</v>
      </c>
      <c r="K862">
        <v>0</v>
      </c>
    </row>
    <row r="863" spans="1:11" x14ac:dyDescent="0.3">
      <c r="A863" s="24">
        <v>0.59868055555555555</v>
      </c>
      <c r="C863">
        <v>0</v>
      </c>
      <c r="E863">
        <v>-0.09</v>
      </c>
      <c r="G863">
        <v>8.4</v>
      </c>
      <c r="I863">
        <v>25.44</v>
      </c>
      <c r="K863">
        <v>0</v>
      </c>
    </row>
    <row r="864" spans="1:11" x14ac:dyDescent="0.3">
      <c r="A864" s="24">
        <v>0.59938657407407414</v>
      </c>
      <c r="C864">
        <v>0</v>
      </c>
      <c r="E864">
        <v>-0.09</v>
      </c>
      <c r="G864">
        <v>8.4</v>
      </c>
      <c r="I864">
        <v>25.4</v>
      </c>
      <c r="K864">
        <v>0</v>
      </c>
    </row>
    <row r="865" spans="1:11" x14ac:dyDescent="0.3">
      <c r="A865" s="24">
        <v>0.60008101851851847</v>
      </c>
      <c r="C865">
        <v>0</v>
      </c>
      <c r="E865">
        <v>-0.09</v>
      </c>
      <c r="G865">
        <v>8.4</v>
      </c>
      <c r="I865">
        <v>25.4</v>
      </c>
      <c r="K865">
        <v>0</v>
      </c>
    </row>
    <row r="866" spans="1:11" x14ac:dyDescent="0.3">
      <c r="A866" s="24">
        <v>0.60077546296296302</v>
      </c>
      <c r="C866">
        <v>0</v>
      </c>
      <c r="E866">
        <v>-0.09</v>
      </c>
      <c r="G866">
        <v>8.4</v>
      </c>
      <c r="I866">
        <v>25.41</v>
      </c>
      <c r="K866">
        <v>0</v>
      </c>
    </row>
    <row r="867" spans="1:11" x14ac:dyDescent="0.3">
      <c r="A867" s="24">
        <v>0.60146990740740736</v>
      </c>
      <c r="C867">
        <v>0</v>
      </c>
      <c r="E867">
        <v>-0.1</v>
      </c>
      <c r="G867">
        <v>8.41</v>
      </c>
      <c r="I867">
        <v>25.5</v>
      </c>
      <c r="K867"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B4936-753E-4F78-8CEA-76E3FE953710}">
  <dimension ref="A1:R438"/>
  <sheetViews>
    <sheetView workbookViewId="0">
      <selection activeCell="J9" sqref="J9"/>
    </sheetView>
  </sheetViews>
  <sheetFormatPr defaultRowHeight="14.4" x14ac:dyDescent="0.3"/>
  <cols>
    <col min="1" max="1" width="22.5546875" customWidth="1"/>
  </cols>
  <sheetData>
    <row r="1" spans="1:18" x14ac:dyDescent="0.3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</row>
    <row r="2" spans="1:18" x14ac:dyDescent="0.3">
      <c r="A2" t="s">
        <v>46</v>
      </c>
      <c r="B2">
        <v>78.097200000000001</v>
      </c>
      <c r="C2">
        <v>20.9163</v>
      </c>
      <c r="D2">
        <v>0.93640000000000001</v>
      </c>
      <c r="E2">
        <v>4.41E-2</v>
      </c>
      <c r="F2">
        <v>2.8999999999999998E-3</v>
      </c>
      <c r="G2">
        <v>3.2000000000000002E-3</v>
      </c>
      <c r="H2">
        <v>0</v>
      </c>
      <c r="I2">
        <v>-2.3703999999999999E-4</v>
      </c>
      <c r="J2">
        <v>1.6299999999999999E-2</v>
      </c>
      <c r="K2">
        <v>-1.46E-2</v>
      </c>
      <c r="L2" s="26">
        <v>4.0200000000000001E-10</v>
      </c>
      <c r="M2" s="26">
        <v>1.7900000000000001E-14</v>
      </c>
      <c r="N2" s="26">
        <v>8.9300000000000004E-11</v>
      </c>
      <c r="O2" s="26">
        <v>7.4200000000000003E-12</v>
      </c>
      <c r="P2" s="26">
        <v>8.1300000000000008E-15</v>
      </c>
      <c r="Q2" s="26">
        <v>3.1099999999999999E-13</v>
      </c>
    </row>
    <row r="3" spans="1:18" x14ac:dyDescent="0.3">
      <c r="A3" t="s">
        <v>47</v>
      </c>
      <c r="B3">
        <v>78.099599999999995</v>
      </c>
      <c r="C3">
        <v>20.915199999999999</v>
      </c>
      <c r="D3">
        <v>0.93559999999999999</v>
      </c>
      <c r="E3">
        <v>4.3700000000000003E-2</v>
      </c>
      <c r="F3">
        <v>2.8E-3</v>
      </c>
      <c r="G3">
        <v>3.0999999999999999E-3</v>
      </c>
      <c r="H3">
        <v>0</v>
      </c>
      <c r="I3">
        <v>-5.8558999999999998E-4</v>
      </c>
      <c r="J3">
        <v>1.83E-2</v>
      </c>
      <c r="K3">
        <v>-3.2000000000000001E-2</v>
      </c>
      <c r="L3" s="26">
        <v>4.0200000000000001E-10</v>
      </c>
      <c r="M3" s="26">
        <v>1.7599999999999999E-14</v>
      </c>
      <c r="N3" s="26">
        <v>8.9300000000000004E-11</v>
      </c>
      <c r="O3" s="26">
        <v>7.4100000000000001E-12</v>
      </c>
      <c r="P3" s="26">
        <v>7.9099999999999996E-15</v>
      </c>
      <c r="Q3" s="26">
        <v>3.08E-13</v>
      </c>
    </row>
    <row r="4" spans="1:18" x14ac:dyDescent="0.3">
      <c r="A4" t="s">
        <v>48</v>
      </c>
      <c r="B4">
        <v>78.104399999999998</v>
      </c>
      <c r="C4">
        <v>20.911300000000001</v>
      </c>
      <c r="D4">
        <v>0.93620000000000003</v>
      </c>
      <c r="E4">
        <v>4.3299999999999998E-2</v>
      </c>
      <c r="F4">
        <v>2.8999999999999998E-3</v>
      </c>
      <c r="G4">
        <v>2E-3</v>
      </c>
      <c r="H4">
        <v>0</v>
      </c>
      <c r="I4">
        <v>-1.0984E-3</v>
      </c>
      <c r="J4">
        <v>2.5700000000000001E-2</v>
      </c>
      <c r="K4">
        <v>-4.2700000000000002E-2</v>
      </c>
      <c r="L4" s="26">
        <v>4.0200000000000001E-10</v>
      </c>
      <c r="M4" s="26">
        <v>1.38E-14</v>
      </c>
      <c r="N4" s="26">
        <v>8.92E-11</v>
      </c>
      <c r="O4" s="26">
        <v>7.4100000000000001E-12</v>
      </c>
      <c r="P4" s="26">
        <v>7.6399999999999995E-15</v>
      </c>
      <c r="Q4" s="26">
        <v>3.0500000000000001E-13</v>
      </c>
    </row>
    <row r="5" spans="1:18" x14ac:dyDescent="0.3">
      <c r="A5" t="s">
        <v>49</v>
      </c>
      <c r="B5">
        <v>78.105800000000002</v>
      </c>
      <c r="C5">
        <v>20.910299999999999</v>
      </c>
      <c r="D5">
        <v>0.93579999999999997</v>
      </c>
      <c r="E5">
        <v>4.3900000000000002E-2</v>
      </c>
      <c r="F5">
        <v>2.5000000000000001E-3</v>
      </c>
      <c r="G5">
        <v>1.6999999999999999E-3</v>
      </c>
      <c r="H5">
        <v>0</v>
      </c>
      <c r="I5">
        <v>-8.2472999999999997E-4</v>
      </c>
      <c r="J5">
        <v>1.8499999999999999E-2</v>
      </c>
      <c r="K5">
        <v>-4.4699999999999997E-2</v>
      </c>
      <c r="L5" s="26">
        <v>4.0200000000000001E-10</v>
      </c>
      <c r="M5" s="26">
        <v>1.25E-14</v>
      </c>
      <c r="N5" s="26">
        <v>8.92E-11</v>
      </c>
      <c r="O5" s="26">
        <v>7.4100000000000001E-12</v>
      </c>
      <c r="P5" s="26">
        <v>6.8499999999999997E-15</v>
      </c>
      <c r="Q5" s="26">
        <v>3.08E-13</v>
      </c>
    </row>
    <row r="6" spans="1:18" x14ac:dyDescent="0.3">
      <c r="A6" t="s">
        <v>50</v>
      </c>
      <c r="B6">
        <v>78.104799999999997</v>
      </c>
      <c r="C6">
        <v>20.911999999999999</v>
      </c>
      <c r="D6">
        <v>0.93600000000000005</v>
      </c>
      <c r="E6">
        <v>4.3999999999999997E-2</v>
      </c>
      <c r="F6">
        <v>1.6999999999999999E-3</v>
      </c>
      <c r="G6">
        <v>1.6000000000000001E-3</v>
      </c>
      <c r="H6">
        <v>0</v>
      </c>
      <c r="I6">
        <v>-1.3010999999999999E-3</v>
      </c>
      <c r="J6">
        <v>3.1399999999999997E-2</v>
      </c>
      <c r="K6">
        <v>-4.1399999999999999E-2</v>
      </c>
      <c r="L6" s="26">
        <v>4.0200000000000001E-10</v>
      </c>
      <c r="M6" s="26">
        <v>1.2199999999999999E-14</v>
      </c>
      <c r="N6" s="26">
        <v>8.9300000000000004E-11</v>
      </c>
      <c r="O6" s="26">
        <v>7.4200000000000003E-12</v>
      </c>
      <c r="P6" s="26">
        <v>5.0300000000000001E-15</v>
      </c>
      <c r="Q6" s="26">
        <v>3.0600000000000001E-13</v>
      </c>
    </row>
    <row r="7" spans="1:18" x14ac:dyDescent="0.3">
      <c r="A7" t="s">
        <v>51</v>
      </c>
      <c r="B7">
        <v>78.108699999999999</v>
      </c>
      <c r="C7">
        <v>20.9085</v>
      </c>
      <c r="D7">
        <v>0.93540000000000001</v>
      </c>
      <c r="E7">
        <v>4.41E-2</v>
      </c>
      <c r="F7">
        <v>1.6999999999999999E-3</v>
      </c>
      <c r="G7">
        <v>1.6000000000000001E-3</v>
      </c>
      <c r="H7">
        <v>0</v>
      </c>
      <c r="I7">
        <v>-3.4200000000000002E-4</v>
      </c>
      <c r="J7">
        <v>2.8899999999999999E-2</v>
      </c>
      <c r="K7">
        <v>-1.18E-2</v>
      </c>
      <c r="L7" s="26">
        <v>4.0200000000000001E-10</v>
      </c>
      <c r="M7" s="26">
        <v>1.2199999999999999E-14</v>
      </c>
      <c r="N7" s="26">
        <v>8.92E-11</v>
      </c>
      <c r="O7" s="26">
        <v>7.4E-12</v>
      </c>
      <c r="P7" s="26">
        <v>5E-15</v>
      </c>
      <c r="Q7" s="26">
        <v>3.0600000000000001E-13</v>
      </c>
    </row>
    <row r="8" spans="1:18" x14ac:dyDescent="0.3">
      <c r="A8" t="s">
        <v>52</v>
      </c>
      <c r="B8">
        <v>78.110100000000003</v>
      </c>
      <c r="C8">
        <v>20.906700000000001</v>
      </c>
      <c r="D8">
        <v>0.93600000000000005</v>
      </c>
      <c r="E8">
        <v>4.4600000000000001E-2</v>
      </c>
      <c r="F8">
        <v>1.2999999999999999E-3</v>
      </c>
      <c r="G8">
        <v>1.2999999999999999E-3</v>
      </c>
      <c r="H8">
        <v>0</v>
      </c>
      <c r="I8">
        <v>-8.7693999999999999E-4</v>
      </c>
      <c r="J8">
        <v>0.70269999999999999</v>
      </c>
      <c r="K8">
        <v>-1.2478000000000001E-3</v>
      </c>
      <c r="L8" s="26">
        <v>4.0200000000000001E-10</v>
      </c>
      <c r="M8" s="26">
        <v>1.1200000000000001E-14</v>
      </c>
      <c r="N8" s="26">
        <v>8.92E-11</v>
      </c>
      <c r="O8" s="26">
        <v>7.4100000000000001E-12</v>
      </c>
      <c r="P8" s="26">
        <v>4.15E-15</v>
      </c>
      <c r="Q8" s="26">
        <v>3.08E-13</v>
      </c>
    </row>
    <row r="9" spans="1:18" x14ac:dyDescent="0.3">
      <c r="A9" t="s">
        <v>53</v>
      </c>
      <c r="B9">
        <v>78.110200000000006</v>
      </c>
      <c r="C9">
        <v>20.9068</v>
      </c>
      <c r="D9">
        <v>0.93569999999999998</v>
      </c>
      <c r="E9">
        <v>4.4999999999999998E-2</v>
      </c>
      <c r="F9">
        <v>2.0000000000000001E-4</v>
      </c>
      <c r="G9">
        <v>2.0999999999999999E-3</v>
      </c>
      <c r="H9">
        <v>0</v>
      </c>
      <c r="I9">
        <v>3.9397E-4</v>
      </c>
      <c r="J9">
        <v>3.6299999999999999E-2</v>
      </c>
      <c r="K9">
        <v>1.0800000000000001E-2</v>
      </c>
      <c r="L9" s="26">
        <v>4.0200000000000001E-10</v>
      </c>
      <c r="M9" s="26">
        <v>1.4E-14</v>
      </c>
      <c r="N9" s="26">
        <v>8.92E-11</v>
      </c>
      <c r="O9" s="26">
        <v>7.4100000000000001E-12</v>
      </c>
      <c r="P9" s="26">
        <v>2.0500000000000002E-15</v>
      </c>
      <c r="Q9" s="26">
        <v>3.07E-13</v>
      </c>
    </row>
    <row r="10" spans="1:18" x14ac:dyDescent="0.3">
      <c r="A10" t="s">
        <v>54</v>
      </c>
      <c r="B10">
        <v>78.111099999999993</v>
      </c>
      <c r="C10">
        <v>20.9069</v>
      </c>
      <c r="D10">
        <v>0.93559999999999999</v>
      </c>
      <c r="E10">
        <v>4.4499999999999998E-2</v>
      </c>
      <c r="F10">
        <v>2.0000000000000001E-4</v>
      </c>
      <c r="G10">
        <v>1.6999999999999999E-3</v>
      </c>
      <c r="H10">
        <v>0</v>
      </c>
      <c r="I10" s="26">
        <v>-8.7899999999999995E-5</v>
      </c>
      <c r="J10">
        <v>3.3099999999999997E-2</v>
      </c>
      <c r="K10">
        <v>-2.6567000000000001E-3</v>
      </c>
      <c r="L10" s="26">
        <v>4.0200000000000001E-10</v>
      </c>
      <c r="M10" s="26">
        <v>1.24E-14</v>
      </c>
      <c r="N10" s="26">
        <v>8.92E-11</v>
      </c>
      <c r="O10" s="26">
        <v>7.4100000000000001E-12</v>
      </c>
      <c r="P10" s="26">
        <v>1.9000000000000001E-15</v>
      </c>
      <c r="Q10" s="26">
        <v>3.0400000000000002E-13</v>
      </c>
    </row>
    <row r="11" spans="1:18" x14ac:dyDescent="0.3">
      <c r="A11" t="s">
        <v>55</v>
      </c>
      <c r="B11">
        <v>78.110900000000001</v>
      </c>
      <c r="C11">
        <v>20.906600000000001</v>
      </c>
      <c r="D11">
        <v>0.9355</v>
      </c>
      <c r="E11">
        <v>4.5199999999999997E-2</v>
      </c>
      <c r="F11">
        <v>1E-4</v>
      </c>
      <c r="G11">
        <v>1.8E-3</v>
      </c>
      <c r="H11">
        <v>0</v>
      </c>
      <c r="I11" s="26">
        <v>2.97E-5</v>
      </c>
      <c r="J11">
        <v>3.0499999999999999E-2</v>
      </c>
      <c r="K11">
        <v>9.7402000000000003E-4</v>
      </c>
      <c r="L11" s="26">
        <v>4.0200000000000001E-10</v>
      </c>
      <c r="M11" s="26">
        <v>1.28E-14</v>
      </c>
      <c r="N11" s="26">
        <v>8.92E-11</v>
      </c>
      <c r="O11" s="26">
        <v>7.4100000000000001E-12</v>
      </c>
      <c r="P11" s="26">
        <v>1.7400000000000001E-15</v>
      </c>
      <c r="Q11" s="26">
        <v>3.07E-13</v>
      </c>
    </row>
    <row r="12" spans="1:18" x14ac:dyDescent="0.3">
      <c r="A12" t="s">
        <v>56</v>
      </c>
      <c r="B12">
        <v>78.114099999999993</v>
      </c>
      <c r="C12">
        <v>20.904800000000002</v>
      </c>
      <c r="D12">
        <v>0.93489999999999995</v>
      </c>
      <c r="E12">
        <v>4.4699999999999997E-2</v>
      </c>
      <c r="F12">
        <v>0</v>
      </c>
      <c r="G12">
        <v>1.6000000000000001E-3</v>
      </c>
      <c r="H12">
        <v>0</v>
      </c>
      <c r="I12">
        <v>2.8703000000000002E-4</v>
      </c>
      <c r="J12">
        <v>3.95E-2</v>
      </c>
      <c r="K12">
        <v>7.2748999999999999E-3</v>
      </c>
      <c r="L12" s="26">
        <v>4.0200000000000001E-10</v>
      </c>
      <c r="M12" s="26">
        <v>1.1999999999999999E-14</v>
      </c>
      <c r="N12" s="26">
        <v>8.92E-11</v>
      </c>
      <c r="O12" s="26">
        <v>7.4E-12</v>
      </c>
      <c r="P12" s="26">
        <v>1.2900000000000001E-15</v>
      </c>
      <c r="Q12" s="26">
        <v>3.0400000000000002E-13</v>
      </c>
    </row>
    <row r="13" spans="1:18" x14ac:dyDescent="0.3">
      <c r="A13" t="s">
        <v>57</v>
      </c>
      <c r="B13">
        <v>78.107299999999995</v>
      </c>
      <c r="C13">
        <v>20.9101</v>
      </c>
      <c r="D13">
        <v>0.93559999999999999</v>
      </c>
      <c r="E13">
        <v>4.48E-2</v>
      </c>
      <c r="F13">
        <v>4.0000000000000002E-4</v>
      </c>
      <c r="G13">
        <v>1.8E-3</v>
      </c>
      <c r="H13">
        <v>0</v>
      </c>
      <c r="I13">
        <v>2.7983000000000001E-4</v>
      </c>
      <c r="J13">
        <v>2.87E-2</v>
      </c>
      <c r="K13">
        <v>9.7537000000000006E-3</v>
      </c>
      <c r="L13" s="26">
        <v>4.0200000000000001E-10</v>
      </c>
      <c r="M13" s="26">
        <v>1.27E-14</v>
      </c>
      <c r="N13" s="26">
        <v>8.92E-11</v>
      </c>
      <c r="O13" s="26">
        <v>7.4100000000000001E-12</v>
      </c>
      <c r="P13" s="26">
        <v>2.3999999999999999E-15</v>
      </c>
      <c r="Q13" s="26">
        <v>3.0600000000000001E-13</v>
      </c>
    </row>
    <row r="14" spans="1:18" x14ac:dyDescent="0.3">
      <c r="A14" t="s">
        <v>58</v>
      </c>
      <c r="B14">
        <v>78.107500000000002</v>
      </c>
      <c r="C14">
        <v>20.909099999999999</v>
      </c>
      <c r="D14">
        <v>0.93620000000000003</v>
      </c>
      <c r="E14">
        <v>4.4900000000000002E-2</v>
      </c>
      <c r="F14">
        <v>5.9999999999999995E-4</v>
      </c>
      <c r="G14">
        <v>1.6999999999999999E-3</v>
      </c>
      <c r="H14">
        <v>0</v>
      </c>
      <c r="I14">
        <v>4.1574E-4</v>
      </c>
      <c r="J14">
        <v>3.6400000000000002E-2</v>
      </c>
      <c r="K14">
        <v>1.14E-2</v>
      </c>
      <c r="L14" s="26">
        <v>4.0200000000000001E-10</v>
      </c>
      <c r="M14" s="26">
        <v>1.26E-14</v>
      </c>
      <c r="N14" s="26">
        <v>8.92E-11</v>
      </c>
      <c r="O14" s="26">
        <v>7.4200000000000003E-12</v>
      </c>
      <c r="P14" s="26">
        <v>2.74E-15</v>
      </c>
      <c r="Q14" s="26">
        <v>3.08E-13</v>
      </c>
    </row>
    <row r="15" spans="1:18" x14ac:dyDescent="0.3">
      <c r="A15" t="s">
        <v>59</v>
      </c>
      <c r="B15">
        <v>78.107600000000005</v>
      </c>
      <c r="C15">
        <v>20.909099999999999</v>
      </c>
      <c r="D15">
        <v>0.93569999999999998</v>
      </c>
      <c r="E15">
        <v>4.4299999999999999E-2</v>
      </c>
      <c r="F15">
        <v>1.5E-3</v>
      </c>
      <c r="G15">
        <v>1.8E-3</v>
      </c>
      <c r="H15">
        <v>0</v>
      </c>
      <c r="I15">
        <v>-1.2824000000000001E-4</v>
      </c>
      <c r="J15">
        <v>2.4400000000000002E-2</v>
      </c>
      <c r="K15">
        <v>-5.2503000000000003E-3</v>
      </c>
      <c r="L15" s="26">
        <v>4.0200000000000001E-10</v>
      </c>
      <c r="M15" s="26">
        <v>1.2900000000000001E-14</v>
      </c>
      <c r="N15" s="26">
        <v>8.92E-11</v>
      </c>
      <c r="O15" s="26">
        <v>7.4100000000000001E-12</v>
      </c>
      <c r="P15" s="26">
        <v>4.7299999999999999E-15</v>
      </c>
      <c r="Q15" s="26">
        <v>3.07E-13</v>
      </c>
    </row>
    <row r="16" spans="1:18" x14ac:dyDescent="0.3">
      <c r="A16" t="s">
        <v>60</v>
      </c>
      <c r="B16">
        <v>78.106099999999998</v>
      </c>
      <c r="C16">
        <v>20.911200000000001</v>
      </c>
      <c r="D16">
        <v>0.93569999999999998</v>
      </c>
      <c r="E16">
        <v>4.5100000000000001E-2</v>
      </c>
      <c r="F16">
        <v>4.0000000000000002E-4</v>
      </c>
      <c r="G16">
        <v>1.6999999999999999E-3</v>
      </c>
      <c r="H16">
        <v>0</v>
      </c>
      <c r="I16">
        <v>1.1506999999999999E-4</v>
      </c>
      <c r="J16">
        <v>2.98E-2</v>
      </c>
      <c r="K16">
        <v>3.8636E-3</v>
      </c>
      <c r="L16" s="26">
        <v>4.0200000000000001E-10</v>
      </c>
      <c r="M16" s="26">
        <v>1.23E-14</v>
      </c>
      <c r="N16" s="26">
        <v>8.9300000000000004E-11</v>
      </c>
      <c r="O16" s="26">
        <v>7.4200000000000003E-12</v>
      </c>
      <c r="P16" s="26">
        <v>2.2400000000000001E-15</v>
      </c>
      <c r="Q16" s="26">
        <v>3.08E-13</v>
      </c>
    </row>
    <row r="17" spans="1:17" x14ac:dyDescent="0.3">
      <c r="A17" t="s">
        <v>61</v>
      </c>
      <c r="B17">
        <v>78.105800000000002</v>
      </c>
      <c r="C17">
        <v>20.9116</v>
      </c>
      <c r="D17">
        <v>0.93579999999999997</v>
      </c>
      <c r="E17">
        <v>4.4900000000000002E-2</v>
      </c>
      <c r="F17">
        <v>5.0000000000000001E-4</v>
      </c>
      <c r="G17">
        <v>1.4E-3</v>
      </c>
      <c r="H17">
        <v>0</v>
      </c>
      <c r="I17">
        <v>-3.5001999999999999E-4</v>
      </c>
      <c r="J17">
        <v>2.3800000000000002E-2</v>
      </c>
      <c r="K17">
        <v>-1.47E-2</v>
      </c>
      <c r="L17" s="26">
        <v>4.0200000000000001E-10</v>
      </c>
      <c r="M17" s="26">
        <v>1.13E-14</v>
      </c>
      <c r="N17" s="26">
        <v>8.92E-11</v>
      </c>
      <c r="O17" s="26">
        <v>7.4100000000000001E-12</v>
      </c>
      <c r="P17" s="26">
        <v>2.5300000000000001E-15</v>
      </c>
      <c r="Q17" s="26">
        <v>3.07E-13</v>
      </c>
    </row>
    <row r="18" spans="1:17" x14ac:dyDescent="0.3">
      <c r="A18" t="s">
        <v>62</v>
      </c>
      <c r="B18">
        <v>78.108099999999993</v>
      </c>
      <c r="C18">
        <v>20.9085</v>
      </c>
      <c r="D18">
        <v>0.93559999999999999</v>
      </c>
      <c r="E18">
        <v>4.4299999999999999E-2</v>
      </c>
      <c r="F18">
        <v>1.5E-3</v>
      </c>
      <c r="G18">
        <v>2E-3</v>
      </c>
      <c r="H18">
        <v>0</v>
      </c>
      <c r="I18">
        <v>-8.9413999999999997E-4</v>
      </c>
      <c r="J18">
        <v>3.1899999999999998E-2</v>
      </c>
      <c r="K18">
        <v>-2.81E-2</v>
      </c>
      <c r="L18" s="26">
        <v>4.0200000000000001E-10</v>
      </c>
      <c r="M18" s="26">
        <v>1.3499999999999999E-14</v>
      </c>
      <c r="N18" s="26">
        <v>8.92E-11</v>
      </c>
      <c r="O18" s="26">
        <v>7.4100000000000001E-12</v>
      </c>
      <c r="P18" s="26">
        <v>4.7399999999999997E-15</v>
      </c>
      <c r="Q18" s="26">
        <v>3.07E-13</v>
      </c>
    </row>
    <row r="19" spans="1:17" x14ac:dyDescent="0.3">
      <c r="A19" t="s">
        <v>63</v>
      </c>
      <c r="B19">
        <v>78.104299999999995</v>
      </c>
      <c r="C19">
        <v>20.911799999999999</v>
      </c>
      <c r="D19">
        <v>0.93620000000000003</v>
      </c>
      <c r="E19">
        <v>4.48E-2</v>
      </c>
      <c r="F19">
        <v>1E-3</v>
      </c>
      <c r="G19">
        <v>1.8E-3</v>
      </c>
      <c r="H19">
        <v>0</v>
      </c>
      <c r="I19">
        <v>-2.1221E-4</v>
      </c>
      <c r="J19">
        <v>1.8700000000000001E-2</v>
      </c>
      <c r="K19">
        <v>-1.1299999999999999E-2</v>
      </c>
      <c r="L19" s="26">
        <v>4.0200000000000001E-10</v>
      </c>
      <c r="M19" s="26">
        <v>1.3E-14</v>
      </c>
      <c r="N19" s="26">
        <v>8.9300000000000004E-11</v>
      </c>
      <c r="O19" s="26">
        <v>7.4200000000000003E-12</v>
      </c>
      <c r="P19" s="26">
        <v>3.7099999999999999E-15</v>
      </c>
      <c r="Q19" s="26">
        <v>3.09E-13</v>
      </c>
    </row>
    <row r="20" spans="1:17" x14ac:dyDescent="0.3">
      <c r="A20" t="s">
        <v>64</v>
      </c>
      <c r="B20">
        <v>78.106999999999999</v>
      </c>
      <c r="C20">
        <v>20.910599999999999</v>
      </c>
      <c r="D20">
        <v>0.93579999999999997</v>
      </c>
      <c r="E20">
        <v>4.5199999999999997E-2</v>
      </c>
      <c r="F20">
        <v>0</v>
      </c>
      <c r="G20">
        <v>1.4E-3</v>
      </c>
      <c r="H20">
        <v>0</v>
      </c>
      <c r="I20">
        <v>2.6863000000000001E-4</v>
      </c>
      <c r="J20">
        <v>2.9000000000000001E-2</v>
      </c>
      <c r="K20">
        <v>9.2577000000000007E-3</v>
      </c>
      <c r="L20" s="26">
        <v>4.0200000000000001E-10</v>
      </c>
      <c r="M20" s="26">
        <v>1.1400000000000001E-14</v>
      </c>
      <c r="N20" s="26">
        <v>8.92E-11</v>
      </c>
      <c r="O20" s="26">
        <v>7.4100000000000001E-12</v>
      </c>
      <c r="P20" s="26">
        <v>1.48E-15</v>
      </c>
      <c r="Q20" s="26">
        <v>3.07E-13</v>
      </c>
    </row>
    <row r="21" spans="1:17" x14ac:dyDescent="0.3">
      <c r="A21" t="s">
        <v>65</v>
      </c>
      <c r="B21">
        <v>78.081900000000005</v>
      </c>
      <c r="C21">
        <v>20.8215</v>
      </c>
      <c r="D21">
        <v>0.93789999999999996</v>
      </c>
      <c r="E21">
        <v>0.15490000000000001</v>
      </c>
      <c r="F21">
        <v>2.2000000000000001E-3</v>
      </c>
      <c r="G21">
        <v>1.5E-3</v>
      </c>
      <c r="H21">
        <v>890</v>
      </c>
      <c r="I21">
        <v>0.11020000000000001</v>
      </c>
      <c r="J21">
        <v>0.1061</v>
      </c>
      <c r="K21">
        <v>1.0390999999999999</v>
      </c>
      <c r="L21" s="26">
        <v>4.2800000000000002E-10</v>
      </c>
      <c r="M21" s="26">
        <v>1.25E-14</v>
      </c>
      <c r="N21" s="26">
        <v>9.4600000000000002E-11</v>
      </c>
      <c r="O21" s="26">
        <v>7.91E-12</v>
      </c>
      <c r="P21" s="26">
        <v>6.4600000000000001E-15</v>
      </c>
      <c r="Q21" s="26">
        <v>1.1099999999999999E-12</v>
      </c>
    </row>
    <row r="22" spans="1:17" x14ac:dyDescent="0.3">
      <c r="A22" t="s">
        <v>66</v>
      </c>
      <c r="B22">
        <v>78.536299999999997</v>
      </c>
      <c r="C22">
        <v>20.4907</v>
      </c>
      <c r="D22">
        <v>0.91920000000000002</v>
      </c>
      <c r="E22">
        <v>5.0599999999999999E-2</v>
      </c>
      <c r="F22">
        <v>1.4E-3</v>
      </c>
      <c r="G22">
        <v>1.8E-3</v>
      </c>
      <c r="H22">
        <v>0</v>
      </c>
      <c r="I22">
        <v>5.5801000000000002E-3</v>
      </c>
      <c r="J22">
        <v>0.55320000000000003</v>
      </c>
      <c r="K22">
        <v>1.01E-2</v>
      </c>
      <c r="L22" s="26">
        <v>4.05E-10</v>
      </c>
      <c r="M22" s="26">
        <v>1.2900000000000001E-14</v>
      </c>
      <c r="N22" s="26">
        <v>8.7499999999999995E-11</v>
      </c>
      <c r="O22" s="26">
        <v>7.2899999999999998E-12</v>
      </c>
      <c r="P22" s="26">
        <v>4.49E-15</v>
      </c>
      <c r="Q22" s="26">
        <v>3.4899999999999998E-13</v>
      </c>
    </row>
    <row r="23" spans="1:17" x14ac:dyDescent="0.3">
      <c r="A23" t="s">
        <v>67</v>
      </c>
      <c r="B23">
        <v>78.125699999999995</v>
      </c>
      <c r="C23">
        <v>20.8903</v>
      </c>
      <c r="D23">
        <v>0.93540000000000001</v>
      </c>
      <c r="E23">
        <v>4.4900000000000002E-2</v>
      </c>
      <c r="F23">
        <v>2.0999999999999999E-3</v>
      </c>
      <c r="G23">
        <v>1.6999999999999999E-3</v>
      </c>
      <c r="H23">
        <v>0</v>
      </c>
      <c r="I23">
        <v>-6.5211999999999996E-4</v>
      </c>
      <c r="J23">
        <v>5.0799999999999998E-2</v>
      </c>
      <c r="K23">
        <v>-1.2800000000000001E-2</v>
      </c>
      <c r="L23" s="26">
        <v>4.0200000000000001E-10</v>
      </c>
      <c r="M23" s="26">
        <v>1.26E-14</v>
      </c>
      <c r="N23" s="26">
        <v>8.92E-11</v>
      </c>
      <c r="O23" s="26">
        <v>7.4200000000000003E-12</v>
      </c>
      <c r="P23" s="26">
        <v>5.9700000000000004E-15</v>
      </c>
      <c r="Q23" s="26">
        <v>3.1299999999999998E-13</v>
      </c>
    </row>
    <row r="24" spans="1:17" x14ac:dyDescent="0.3">
      <c r="A24" t="s">
        <v>68</v>
      </c>
      <c r="B24">
        <v>78.084699999999998</v>
      </c>
      <c r="C24">
        <v>20.889700000000001</v>
      </c>
      <c r="D24">
        <v>0.93720000000000003</v>
      </c>
      <c r="E24">
        <v>8.6800000000000002E-2</v>
      </c>
      <c r="F24">
        <v>0</v>
      </c>
      <c r="G24">
        <v>1.5E-3</v>
      </c>
      <c r="H24">
        <v>717</v>
      </c>
      <c r="I24">
        <v>4.2200000000000001E-2</v>
      </c>
      <c r="J24">
        <v>2.8799999999999999E-2</v>
      </c>
      <c r="K24">
        <v>1.4665999999999999</v>
      </c>
      <c r="L24" s="26">
        <v>4.2E-10</v>
      </c>
      <c r="M24" s="26">
        <v>1.23E-14</v>
      </c>
      <c r="N24" s="26">
        <v>9.3199999999999999E-11</v>
      </c>
      <c r="O24" s="26">
        <v>7.7599999999999992E-12</v>
      </c>
      <c r="P24" s="26">
        <v>1.2199999999999999E-15</v>
      </c>
      <c r="Q24" s="26">
        <v>6.0800000000000003E-13</v>
      </c>
    </row>
    <row r="25" spans="1:17" x14ac:dyDescent="0.3">
      <c r="A25" t="s">
        <v>69</v>
      </c>
      <c r="B25">
        <v>78.081599999999995</v>
      </c>
      <c r="C25">
        <v>20.892099999999999</v>
      </c>
      <c r="D25">
        <v>0.93869999999999998</v>
      </c>
      <c r="E25">
        <v>8.2799999999999999E-2</v>
      </c>
      <c r="F25">
        <v>2.0999999999999999E-3</v>
      </c>
      <c r="G25">
        <v>2.7000000000000001E-3</v>
      </c>
      <c r="H25">
        <v>741</v>
      </c>
      <c r="I25">
        <v>3.8100000000000002E-2</v>
      </c>
      <c r="J25">
        <v>3.9E-2</v>
      </c>
      <c r="K25">
        <v>0.97609999999999997</v>
      </c>
      <c r="L25" s="26">
        <v>4.18E-10</v>
      </c>
      <c r="M25" s="26">
        <v>1.6899999999999999E-14</v>
      </c>
      <c r="N25" s="26">
        <v>9.2800000000000005E-11</v>
      </c>
      <c r="O25" s="26">
        <v>7.7400000000000005E-12</v>
      </c>
      <c r="P25" s="26">
        <v>6.5500000000000003E-15</v>
      </c>
      <c r="Q25" s="26">
        <v>5.8600000000000003E-13</v>
      </c>
    </row>
    <row r="26" spans="1:17" x14ac:dyDescent="0.3">
      <c r="A26" t="s">
        <v>70</v>
      </c>
      <c r="B26">
        <v>78.076800000000006</v>
      </c>
      <c r="C26">
        <v>20.895700000000001</v>
      </c>
      <c r="D26">
        <v>0.93840000000000001</v>
      </c>
      <c r="E26">
        <v>8.2600000000000007E-2</v>
      </c>
      <c r="F26">
        <v>2.3999999999999998E-3</v>
      </c>
      <c r="G26">
        <v>4.1000000000000003E-3</v>
      </c>
      <c r="H26">
        <v>739</v>
      </c>
      <c r="I26">
        <v>3.8100000000000002E-2</v>
      </c>
      <c r="J26">
        <v>2.7799999999999998E-2</v>
      </c>
      <c r="K26">
        <v>1.3711</v>
      </c>
      <c r="L26" s="26">
        <v>4.1700000000000001E-10</v>
      </c>
      <c r="M26" s="26">
        <v>2.2099999999999999E-14</v>
      </c>
      <c r="N26" s="26">
        <v>9.2599999999999996E-11</v>
      </c>
      <c r="O26" s="26">
        <v>7.7200000000000002E-12</v>
      </c>
      <c r="P26" s="26">
        <v>7.6000000000000004E-15</v>
      </c>
      <c r="Q26" s="26">
        <v>5.8400000000000004E-13</v>
      </c>
    </row>
    <row r="27" spans="1:17" x14ac:dyDescent="0.3">
      <c r="A27" t="s">
        <v>71</v>
      </c>
      <c r="B27">
        <v>78.110699999999994</v>
      </c>
      <c r="C27">
        <v>20.864799999999999</v>
      </c>
      <c r="D27">
        <v>0.93610000000000004</v>
      </c>
      <c r="E27">
        <v>8.2600000000000007E-2</v>
      </c>
      <c r="F27">
        <v>1.5E-3</v>
      </c>
      <c r="G27">
        <v>4.3E-3</v>
      </c>
      <c r="H27">
        <v>0</v>
      </c>
      <c r="I27">
        <v>3.7999999999999999E-2</v>
      </c>
      <c r="J27">
        <v>7.0599999999999996E-2</v>
      </c>
      <c r="K27">
        <v>0.5383</v>
      </c>
      <c r="L27" s="26">
        <v>3.9800000000000002E-10</v>
      </c>
      <c r="M27" s="26">
        <v>2.2000000000000001E-14</v>
      </c>
      <c r="N27" s="26">
        <v>8.8099999999999998E-11</v>
      </c>
      <c r="O27" s="26">
        <v>7.3400000000000006E-12</v>
      </c>
      <c r="P27" s="26">
        <v>5.5000000000000002E-15</v>
      </c>
      <c r="Q27" s="26">
        <v>5.5399999999999996E-13</v>
      </c>
    </row>
    <row r="28" spans="1:17" x14ac:dyDescent="0.3">
      <c r="A28" t="s">
        <v>72</v>
      </c>
      <c r="B28">
        <v>78.103700000000003</v>
      </c>
      <c r="C28">
        <v>20.911799999999999</v>
      </c>
      <c r="D28">
        <v>0.93559999999999999</v>
      </c>
      <c r="E28">
        <v>4.5900000000000003E-2</v>
      </c>
      <c r="F28">
        <v>1.2999999999999999E-3</v>
      </c>
      <c r="G28">
        <v>1.6999999999999999E-3</v>
      </c>
      <c r="H28">
        <v>0</v>
      </c>
      <c r="I28">
        <v>9.3061999999999995E-4</v>
      </c>
      <c r="J28">
        <v>1.6299999999999999E-2</v>
      </c>
      <c r="K28">
        <v>5.7200000000000001E-2</v>
      </c>
      <c r="L28" s="26">
        <v>4.0200000000000001E-10</v>
      </c>
      <c r="M28" s="26">
        <v>1.27E-14</v>
      </c>
      <c r="N28" s="26">
        <v>8.9300000000000004E-11</v>
      </c>
      <c r="O28" s="26">
        <v>7.4200000000000003E-12</v>
      </c>
      <c r="P28" s="26">
        <v>4.1999999999999996E-15</v>
      </c>
      <c r="Q28" s="26">
        <v>3.1700000000000001E-13</v>
      </c>
    </row>
    <row r="29" spans="1:17" x14ac:dyDescent="0.3">
      <c r="A29" t="s">
        <v>73</v>
      </c>
      <c r="B29">
        <v>78.061599999999999</v>
      </c>
      <c r="C29">
        <v>20.894500000000001</v>
      </c>
      <c r="D29">
        <v>0.93899999999999995</v>
      </c>
      <c r="E29">
        <v>6.7599999999999993E-2</v>
      </c>
      <c r="F29">
        <v>3.2899999999999999E-2</v>
      </c>
      <c r="G29">
        <v>4.4000000000000003E-3</v>
      </c>
      <c r="H29">
        <v>792</v>
      </c>
      <c r="I29">
        <v>2.2700000000000001E-2</v>
      </c>
      <c r="J29">
        <v>2.4500000000000001E-2</v>
      </c>
      <c r="K29">
        <v>0.92559999999999998</v>
      </c>
      <c r="L29" s="26">
        <v>4.19E-10</v>
      </c>
      <c r="M29" s="26">
        <v>2.41E-14</v>
      </c>
      <c r="N29" s="26">
        <v>9.3000000000000002E-11</v>
      </c>
      <c r="O29" s="26">
        <v>7.7599999999999992E-12</v>
      </c>
      <c r="P29" s="26">
        <v>7.47E-14</v>
      </c>
      <c r="Q29" s="26">
        <v>6.0099999999999996E-13</v>
      </c>
    </row>
    <row r="30" spans="1:17" x14ac:dyDescent="0.3">
      <c r="A30" t="s">
        <v>74</v>
      </c>
      <c r="B30">
        <v>78.064300000000003</v>
      </c>
      <c r="C30">
        <v>20.895499999999998</v>
      </c>
      <c r="D30">
        <v>0.9385</v>
      </c>
      <c r="E30">
        <v>7.5800000000000006E-2</v>
      </c>
      <c r="F30">
        <v>1.9900000000000001E-2</v>
      </c>
      <c r="G30">
        <v>6.0000000000000001E-3</v>
      </c>
      <c r="H30">
        <v>784</v>
      </c>
      <c r="I30">
        <v>3.1300000000000001E-2</v>
      </c>
      <c r="J30">
        <v>2.75E-2</v>
      </c>
      <c r="K30">
        <v>1.1382000000000001</v>
      </c>
      <c r="L30" s="26">
        <v>4.19E-10</v>
      </c>
      <c r="M30" s="26">
        <v>2.9899999999999998E-14</v>
      </c>
      <c r="N30" s="26">
        <v>9.3000000000000002E-11</v>
      </c>
      <c r="O30" s="26">
        <v>7.7500000000000007E-12</v>
      </c>
      <c r="P30" s="26">
        <v>4.6599999999999998E-14</v>
      </c>
      <c r="Q30" s="26">
        <v>6.0800000000000003E-13</v>
      </c>
    </row>
    <row r="31" spans="1:17" x14ac:dyDescent="0.3">
      <c r="A31" t="s">
        <v>75</v>
      </c>
      <c r="B31">
        <v>78.067099999999996</v>
      </c>
      <c r="C31">
        <v>20.896000000000001</v>
      </c>
      <c r="D31">
        <v>0.93879999999999997</v>
      </c>
      <c r="E31">
        <v>8.2699999999999996E-2</v>
      </c>
      <c r="F31">
        <v>8.3999999999999995E-3</v>
      </c>
      <c r="G31">
        <v>7.0000000000000001E-3</v>
      </c>
      <c r="H31">
        <v>779</v>
      </c>
      <c r="I31">
        <v>3.78E-2</v>
      </c>
      <c r="J31">
        <v>2.2599999999999999E-2</v>
      </c>
      <c r="K31">
        <v>1.6733</v>
      </c>
      <c r="L31" s="26">
        <v>4.19E-10</v>
      </c>
      <c r="M31" s="26">
        <v>3.3699999999999998E-14</v>
      </c>
      <c r="N31" s="26">
        <v>9.3000000000000002E-11</v>
      </c>
      <c r="O31" s="26">
        <v>7.7599999999999992E-12</v>
      </c>
      <c r="P31" s="26">
        <v>2.1700000000000002E-14</v>
      </c>
      <c r="Q31" s="26">
        <v>6.1100000000000002E-13</v>
      </c>
    </row>
    <row r="32" spans="1:17" x14ac:dyDescent="0.3">
      <c r="A32" t="s">
        <v>76</v>
      </c>
      <c r="B32">
        <v>78.074700000000007</v>
      </c>
      <c r="C32">
        <v>20.8874</v>
      </c>
      <c r="D32">
        <v>0.93879999999999997</v>
      </c>
      <c r="E32">
        <v>8.6599999999999996E-2</v>
      </c>
      <c r="F32">
        <v>3.5000000000000001E-3</v>
      </c>
      <c r="G32">
        <v>9.1000000000000004E-3</v>
      </c>
      <c r="H32">
        <v>763</v>
      </c>
      <c r="I32">
        <v>4.1599999999999998E-2</v>
      </c>
      <c r="J32">
        <v>2.1299999999999999E-2</v>
      </c>
      <c r="K32">
        <v>1.9500999999999999</v>
      </c>
      <c r="L32" s="26">
        <v>4.19E-10</v>
      </c>
      <c r="M32" s="26">
        <v>4.15E-14</v>
      </c>
      <c r="N32" s="26">
        <v>9.3000000000000002E-11</v>
      </c>
      <c r="O32" s="26">
        <v>7.7599999999999992E-12</v>
      </c>
      <c r="P32" s="26">
        <v>1.15E-14</v>
      </c>
      <c r="Q32" s="26">
        <v>6.1899999999999999E-13</v>
      </c>
    </row>
    <row r="33" spans="1:17" x14ac:dyDescent="0.3">
      <c r="A33" t="s">
        <v>77</v>
      </c>
      <c r="B33">
        <v>78.076400000000007</v>
      </c>
      <c r="C33">
        <v>20.8855</v>
      </c>
      <c r="D33">
        <v>0.93830000000000002</v>
      </c>
      <c r="E33">
        <v>8.8499999999999995E-2</v>
      </c>
      <c r="F33">
        <v>2.5999999999999999E-3</v>
      </c>
      <c r="G33">
        <v>8.6999999999999994E-3</v>
      </c>
      <c r="H33">
        <v>761</v>
      </c>
      <c r="I33">
        <v>4.3999999999999997E-2</v>
      </c>
      <c r="J33">
        <v>2.7699999999999999E-2</v>
      </c>
      <c r="K33">
        <v>1.5868</v>
      </c>
      <c r="L33" s="26">
        <v>4.2E-10</v>
      </c>
      <c r="M33" s="26">
        <v>4.0100000000000001E-14</v>
      </c>
      <c r="N33" s="26">
        <v>9.3000000000000002E-11</v>
      </c>
      <c r="O33" s="26">
        <v>7.7599999999999992E-12</v>
      </c>
      <c r="P33" s="26">
        <v>9.4799999999999994E-15</v>
      </c>
      <c r="Q33" s="26">
        <v>6.2900000000000005E-13</v>
      </c>
    </row>
    <row r="34" spans="1:17" x14ac:dyDescent="0.3">
      <c r="A34" t="s">
        <v>78</v>
      </c>
      <c r="B34">
        <v>78.072100000000006</v>
      </c>
      <c r="C34">
        <v>20.889399999999998</v>
      </c>
      <c r="D34">
        <v>0.9385</v>
      </c>
      <c r="E34">
        <v>8.9200000000000002E-2</v>
      </c>
      <c r="F34">
        <v>2.3E-3</v>
      </c>
      <c r="G34">
        <v>8.5000000000000006E-3</v>
      </c>
      <c r="H34">
        <v>759</v>
      </c>
      <c r="I34">
        <v>4.4600000000000001E-2</v>
      </c>
      <c r="J34">
        <v>2.5999999999999999E-2</v>
      </c>
      <c r="K34">
        <v>1.7175</v>
      </c>
      <c r="L34" s="26">
        <v>4.2E-10</v>
      </c>
      <c r="M34" s="26">
        <v>3.93E-14</v>
      </c>
      <c r="N34" s="26">
        <v>9.3099999999999994E-11</v>
      </c>
      <c r="O34" s="26">
        <v>7.7599999999999992E-12</v>
      </c>
      <c r="P34" s="26">
        <v>8.8100000000000008E-15</v>
      </c>
      <c r="Q34" s="26">
        <v>6.3400000000000002E-13</v>
      </c>
    </row>
    <row r="35" spans="1:17" x14ac:dyDescent="0.3">
      <c r="A35" t="s">
        <v>79</v>
      </c>
      <c r="B35">
        <v>78.075400000000002</v>
      </c>
      <c r="C35">
        <v>20.884899999999998</v>
      </c>
      <c r="D35">
        <v>0.93799999999999994</v>
      </c>
      <c r="E35">
        <v>9.0399999999999994E-2</v>
      </c>
      <c r="F35">
        <v>2.3E-3</v>
      </c>
      <c r="G35">
        <v>8.8999999999999999E-3</v>
      </c>
      <c r="H35">
        <v>758</v>
      </c>
      <c r="I35">
        <v>4.5499999999999999E-2</v>
      </c>
      <c r="J35">
        <v>2.29E-2</v>
      </c>
      <c r="K35">
        <v>1.9897</v>
      </c>
      <c r="L35" s="26">
        <v>4.2E-10</v>
      </c>
      <c r="M35" s="26">
        <v>4.1000000000000002E-14</v>
      </c>
      <c r="N35" s="26">
        <v>9.3099999999999994E-11</v>
      </c>
      <c r="O35" s="26">
        <v>7.7599999999999992E-12</v>
      </c>
      <c r="P35" s="26">
        <v>8.8800000000000007E-15</v>
      </c>
      <c r="Q35" s="26">
        <v>6.4199999999999999E-13</v>
      </c>
    </row>
    <row r="36" spans="1:17" x14ac:dyDescent="0.3">
      <c r="A36" t="s">
        <v>80</v>
      </c>
      <c r="B36">
        <v>78.072900000000004</v>
      </c>
      <c r="C36">
        <v>20.884899999999998</v>
      </c>
      <c r="D36">
        <v>0.9385</v>
      </c>
      <c r="E36">
        <v>9.1700000000000004E-2</v>
      </c>
      <c r="F36">
        <v>2.5999999999999999E-3</v>
      </c>
      <c r="G36">
        <v>9.2999999999999992E-3</v>
      </c>
      <c r="H36">
        <v>758</v>
      </c>
      <c r="I36">
        <v>4.6899999999999997E-2</v>
      </c>
      <c r="J36">
        <v>2.4899999999999999E-2</v>
      </c>
      <c r="K36">
        <v>1.8834</v>
      </c>
      <c r="L36" s="26">
        <v>4.2E-10</v>
      </c>
      <c r="M36" s="26">
        <v>4.2600000000000003E-14</v>
      </c>
      <c r="N36" s="26">
        <v>9.3099999999999994E-11</v>
      </c>
      <c r="O36" s="26">
        <v>7.7699999999999994E-12</v>
      </c>
      <c r="P36" s="26">
        <v>9.7299999999999999E-15</v>
      </c>
      <c r="Q36" s="26">
        <v>6.5200000000000005E-13</v>
      </c>
    </row>
    <row r="37" spans="1:17" x14ac:dyDescent="0.3">
      <c r="A37" t="s">
        <v>81</v>
      </c>
      <c r="B37">
        <v>78.070400000000006</v>
      </c>
      <c r="C37">
        <v>20.885999999999999</v>
      </c>
      <c r="D37">
        <v>0.93940000000000001</v>
      </c>
      <c r="E37">
        <v>9.2700000000000005E-2</v>
      </c>
      <c r="F37">
        <v>2.0999999999999999E-3</v>
      </c>
      <c r="G37">
        <v>9.4999999999999998E-3</v>
      </c>
      <c r="H37">
        <v>757</v>
      </c>
      <c r="I37">
        <v>4.82E-2</v>
      </c>
      <c r="J37">
        <v>2.3800000000000002E-2</v>
      </c>
      <c r="K37">
        <v>2.0312000000000001</v>
      </c>
      <c r="L37" s="26">
        <v>4.2E-10</v>
      </c>
      <c r="M37" s="26">
        <v>4.3100000000000001E-14</v>
      </c>
      <c r="N37" s="26">
        <v>9.3099999999999994E-11</v>
      </c>
      <c r="O37" s="26">
        <v>7.7799999999999996E-12</v>
      </c>
      <c r="P37" s="26">
        <v>8.6300000000000002E-15</v>
      </c>
      <c r="Q37" s="26">
        <v>6.5700000000000003E-13</v>
      </c>
    </row>
    <row r="38" spans="1:17" x14ac:dyDescent="0.3">
      <c r="A38" t="s">
        <v>82</v>
      </c>
      <c r="B38">
        <v>78.073300000000003</v>
      </c>
      <c r="C38">
        <v>20.882200000000001</v>
      </c>
      <c r="D38">
        <v>0.93869999999999998</v>
      </c>
      <c r="E38">
        <v>9.3100000000000002E-2</v>
      </c>
      <c r="F38">
        <v>3.3999999999999998E-3</v>
      </c>
      <c r="G38">
        <v>9.2999999999999992E-3</v>
      </c>
      <c r="H38">
        <v>754</v>
      </c>
      <c r="I38">
        <v>4.8500000000000001E-2</v>
      </c>
      <c r="J38">
        <v>3.3500000000000002E-2</v>
      </c>
      <c r="K38">
        <v>1.4470000000000001</v>
      </c>
      <c r="L38" s="26">
        <v>4.2E-10</v>
      </c>
      <c r="M38" s="26">
        <v>4.2600000000000003E-14</v>
      </c>
      <c r="N38" s="26">
        <v>9.3199999999999999E-11</v>
      </c>
      <c r="O38" s="26">
        <v>7.7699999999999994E-12</v>
      </c>
      <c r="P38" s="26">
        <v>1.1400000000000001E-14</v>
      </c>
      <c r="Q38" s="26">
        <v>6.6499999999999999E-13</v>
      </c>
    </row>
    <row r="39" spans="1:17" x14ac:dyDescent="0.3">
      <c r="A39" t="s">
        <v>83</v>
      </c>
      <c r="B39">
        <v>78.070400000000006</v>
      </c>
      <c r="C39">
        <v>20.885100000000001</v>
      </c>
      <c r="D39">
        <v>0.93859999999999999</v>
      </c>
      <c r="E39">
        <v>9.5000000000000001E-2</v>
      </c>
      <c r="F39">
        <v>2.0999999999999999E-3</v>
      </c>
      <c r="G39">
        <v>8.8000000000000005E-3</v>
      </c>
      <c r="H39">
        <v>758</v>
      </c>
      <c r="I39">
        <v>4.99E-2</v>
      </c>
      <c r="J39">
        <v>2.4400000000000002E-2</v>
      </c>
      <c r="K39">
        <v>2.0453999999999999</v>
      </c>
      <c r="L39" s="26">
        <v>4.2E-10</v>
      </c>
      <c r="M39" s="26">
        <v>4.0300000000000002E-14</v>
      </c>
      <c r="N39" s="26">
        <v>9.3199999999999999E-11</v>
      </c>
      <c r="O39" s="26">
        <v>7.7799999999999996E-12</v>
      </c>
      <c r="P39" s="26">
        <v>8.2700000000000007E-15</v>
      </c>
      <c r="Q39" s="26">
        <v>6.7299999999999996E-13</v>
      </c>
    </row>
    <row r="40" spans="1:17" x14ac:dyDescent="0.3">
      <c r="A40" t="s">
        <v>84</v>
      </c>
      <c r="B40">
        <v>78.073400000000007</v>
      </c>
      <c r="C40">
        <v>20.879100000000001</v>
      </c>
      <c r="D40">
        <v>0.93930000000000002</v>
      </c>
      <c r="E40">
        <v>9.5600000000000004E-2</v>
      </c>
      <c r="F40">
        <v>2.8999999999999998E-3</v>
      </c>
      <c r="G40">
        <v>9.7000000000000003E-3</v>
      </c>
      <c r="H40">
        <v>754</v>
      </c>
      <c r="I40">
        <v>5.0700000000000002E-2</v>
      </c>
      <c r="J40">
        <v>3.4099999999999998E-2</v>
      </c>
      <c r="K40">
        <v>1.4875</v>
      </c>
      <c r="L40" s="26">
        <v>4.2E-10</v>
      </c>
      <c r="M40" s="26">
        <v>4.4199999999999997E-14</v>
      </c>
      <c r="N40" s="26">
        <v>9.3099999999999994E-11</v>
      </c>
      <c r="O40" s="26">
        <v>7.7799999999999996E-12</v>
      </c>
      <c r="P40" s="26">
        <v>1.04E-14</v>
      </c>
      <c r="Q40" s="26">
        <v>6.8000000000000003E-13</v>
      </c>
    </row>
    <row r="41" spans="1:17" x14ac:dyDescent="0.3">
      <c r="A41" t="s">
        <v>85</v>
      </c>
      <c r="B41">
        <v>78.067499999999995</v>
      </c>
      <c r="C41">
        <v>20.885400000000001</v>
      </c>
      <c r="D41">
        <v>0.9385</v>
      </c>
      <c r="E41">
        <v>9.7199999999999995E-2</v>
      </c>
      <c r="F41">
        <v>2.3999999999999998E-3</v>
      </c>
      <c r="G41">
        <v>8.9999999999999993E-3</v>
      </c>
      <c r="H41">
        <v>757</v>
      </c>
      <c r="I41">
        <v>5.2499999999999998E-2</v>
      </c>
      <c r="J41">
        <v>2.3099999999999999E-2</v>
      </c>
      <c r="K41">
        <v>2.2734000000000001</v>
      </c>
      <c r="L41" s="26">
        <v>4.2E-10</v>
      </c>
      <c r="M41" s="26">
        <v>4.1100000000000003E-14</v>
      </c>
      <c r="N41" s="26">
        <v>9.3099999999999994E-11</v>
      </c>
      <c r="O41" s="26">
        <v>7.7699999999999994E-12</v>
      </c>
      <c r="P41" s="26">
        <v>9.1899999999999998E-15</v>
      </c>
      <c r="Q41" s="26">
        <v>6.8899999999999999E-13</v>
      </c>
    </row>
    <row r="42" spans="1:17" x14ac:dyDescent="0.3">
      <c r="A42" t="s">
        <v>86</v>
      </c>
      <c r="B42">
        <v>78.074299999999994</v>
      </c>
      <c r="C42">
        <v>20.876899999999999</v>
      </c>
      <c r="D42">
        <v>0.93930000000000002</v>
      </c>
      <c r="E42">
        <v>9.8599999999999993E-2</v>
      </c>
      <c r="F42">
        <v>1.5E-3</v>
      </c>
      <c r="G42">
        <v>9.2999999999999992E-3</v>
      </c>
      <c r="H42">
        <v>753</v>
      </c>
      <c r="I42">
        <v>5.45E-2</v>
      </c>
      <c r="J42">
        <v>3.6700000000000003E-2</v>
      </c>
      <c r="K42">
        <v>1.4842</v>
      </c>
      <c r="L42" s="26">
        <v>4.2E-10</v>
      </c>
      <c r="M42" s="26">
        <v>4.2400000000000001E-14</v>
      </c>
      <c r="N42" s="26">
        <v>9.3099999999999994E-11</v>
      </c>
      <c r="O42" s="26">
        <v>7.7699999999999994E-12</v>
      </c>
      <c r="P42" s="26">
        <v>7.2500000000000007E-15</v>
      </c>
      <c r="Q42" s="26">
        <v>6.9499999999999997E-13</v>
      </c>
    </row>
    <row r="43" spans="1:17" x14ac:dyDescent="0.3">
      <c r="A43" t="s">
        <v>87</v>
      </c>
      <c r="B43">
        <v>78.078000000000003</v>
      </c>
      <c r="C43">
        <v>20.872399999999999</v>
      </c>
      <c r="D43">
        <v>0.93769999999999998</v>
      </c>
      <c r="E43">
        <v>9.9500000000000005E-2</v>
      </c>
      <c r="F43">
        <v>2.3E-3</v>
      </c>
      <c r="G43">
        <v>0.01</v>
      </c>
      <c r="H43">
        <v>754</v>
      </c>
      <c r="I43">
        <v>5.4899999999999997E-2</v>
      </c>
      <c r="J43">
        <v>3.9399999999999998E-2</v>
      </c>
      <c r="K43">
        <v>1.3943000000000001</v>
      </c>
      <c r="L43" s="26">
        <v>4.2E-10</v>
      </c>
      <c r="M43" s="26">
        <v>4.5199999999999999E-14</v>
      </c>
      <c r="N43" s="26">
        <v>9.3099999999999994E-11</v>
      </c>
      <c r="O43" s="26">
        <v>7.7599999999999992E-12</v>
      </c>
      <c r="P43" s="26">
        <v>9.1999999999999996E-15</v>
      </c>
      <c r="Q43" s="26">
        <v>7.0500000000000003E-13</v>
      </c>
    </row>
    <row r="44" spans="1:17" x14ac:dyDescent="0.3">
      <c r="A44" t="s">
        <v>88</v>
      </c>
      <c r="B44">
        <v>78.075800000000001</v>
      </c>
      <c r="C44">
        <v>20.872699999999998</v>
      </c>
      <c r="D44">
        <v>0.93869999999999998</v>
      </c>
      <c r="E44">
        <v>0.10050000000000001</v>
      </c>
      <c r="F44">
        <v>2.5999999999999999E-3</v>
      </c>
      <c r="G44">
        <v>9.7000000000000003E-3</v>
      </c>
      <c r="H44">
        <v>752</v>
      </c>
      <c r="I44">
        <v>5.6500000000000002E-2</v>
      </c>
      <c r="J44">
        <v>3.8100000000000002E-2</v>
      </c>
      <c r="K44">
        <v>1.4815</v>
      </c>
      <c r="L44" s="26">
        <v>4.2E-10</v>
      </c>
      <c r="M44" s="26">
        <v>4.4000000000000002E-14</v>
      </c>
      <c r="N44" s="26">
        <v>9.3099999999999994E-11</v>
      </c>
      <c r="O44" s="26">
        <v>7.7699999999999994E-12</v>
      </c>
      <c r="P44" s="26">
        <v>9.8099999999999997E-15</v>
      </c>
      <c r="Q44" s="26">
        <v>7.1299999999999999E-13</v>
      </c>
    </row>
    <row r="45" spans="1:17" x14ac:dyDescent="0.3">
      <c r="A45" t="s">
        <v>89</v>
      </c>
      <c r="B45">
        <v>78.076400000000007</v>
      </c>
      <c r="C45">
        <v>20.871300000000002</v>
      </c>
      <c r="D45">
        <v>0.93810000000000004</v>
      </c>
      <c r="E45">
        <v>0.1018</v>
      </c>
      <c r="F45">
        <v>2.8999999999999998E-3</v>
      </c>
      <c r="G45">
        <v>9.5999999999999992E-3</v>
      </c>
      <c r="H45">
        <v>753</v>
      </c>
      <c r="I45">
        <v>5.7299999999999997E-2</v>
      </c>
      <c r="J45">
        <v>3.9600000000000003E-2</v>
      </c>
      <c r="K45">
        <v>1.4477</v>
      </c>
      <c r="L45" s="26">
        <v>4.2E-10</v>
      </c>
      <c r="M45" s="26">
        <v>4.3499999999999998E-14</v>
      </c>
      <c r="N45" s="26">
        <v>9.3099999999999994E-11</v>
      </c>
      <c r="O45" s="26">
        <v>7.7699999999999994E-12</v>
      </c>
      <c r="P45" s="26">
        <v>1.0299999999999999E-14</v>
      </c>
      <c r="Q45" s="26">
        <v>7.2199999999999995E-13</v>
      </c>
    </row>
    <row r="46" spans="1:17" x14ac:dyDescent="0.3">
      <c r="A46" t="s">
        <v>90</v>
      </c>
      <c r="B46">
        <v>78.072400000000002</v>
      </c>
      <c r="C46">
        <v>20.873000000000001</v>
      </c>
      <c r="D46">
        <v>0.93910000000000005</v>
      </c>
      <c r="E46">
        <v>0.10390000000000001</v>
      </c>
      <c r="F46">
        <v>2.2000000000000001E-3</v>
      </c>
      <c r="G46">
        <v>9.4000000000000004E-3</v>
      </c>
      <c r="H46">
        <v>745</v>
      </c>
      <c r="I46">
        <v>5.8900000000000001E-2</v>
      </c>
      <c r="J46">
        <v>4.19E-2</v>
      </c>
      <c r="K46">
        <v>1.405</v>
      </c>
      <c r="L46" s="26">
        <v>4.2E-10</v>
      </c>
      <c r="M46" s="26">
        <v>4.3E-14</v>
      </c>
      <c r="N46" s="26">
        <v>9.3000000000000002E-11</v>
      </c>
      <c r="O46" s="26">
        <v>7.7699999999999994E-12</v>
      </c>
      <c r="P46" s="26">
        <v>8.7799999999999999E-15</v>
      </c>
      <c r="Q46" s="26">
        <v>7.34E-13</v>
      </c>
    </row>
    <row r="47" spans="1:17" x14ac:dyDescent="0.3">
      <c r="A47" t="s">
        <v>91</v>
      </c>
      <c r="B47">
        <v>78.070700000000002</v>
      </c>
      <c r="C47">
        <v>20.872299999999999</v>
      </c>
      <c r="D47">
        <v>0.9385</v>
      </c>
      <c r="E47">
        <v>0.1057</v>
      </c>
      <c r="F47">
        <v>2.5000000000000001E-3</v>
      </c>
      <c r="G47">
        <v>1.0200000000000001E-2</v>
      </c>
      <c r="H47">
        <v>754</v>
      </c>
      <c r="I47">
        <v>6.13E-2</v>
      </c>
      <c r="J47">
        <v>4.0399999999999998E-2</v>
      </c>
      <c r="K47">
        <v>1.518</v>
      </c>
      <c r="L47" s="26">
        <v>4.2E-10</v>
      </c>
      <c r="M47" s="26">
        <v>4.5799999999999998E-14</v>
      </c>
      <c r="N47" s="26">
        <v>9.3000000000000002E-11</v>
      </c>
      <c r="O47" s="26">
        <v>7.7699999999999994E-12</v>
      </c>
      <c r="P47" s="26">
        <v>9.7399999999999997E-15</v>
      </c>
      <c r="Q47" s="26">
        <v>7.4800000000000004E-13</v>
      </c>
    </row>
    <row r="48" spans="1:17" x14ac:dyDescent="0.3">
      <c r="A48" t="s">
        <v>92</v>
      </c>
      <c r="B48">
        <v>78.073300000000003</v>
      </c>
      <c r="C48">
        <v>20.867899999999999</v>
      </c>
      <c r="D48">
        <v>0.93920000000000003</v>
      </c>
      <c r="E48">
        <v>0.10639999999999999</v>
      </c>
      <c r="F48">
        <v>3.7000000000000002E-3</v>
      </c>
      <c r="G48">
        <v>9.4999999999999998E-3</v>
      </c>
      <c r="H48">
        <v>748</v>
      </c>
      <c r="I48">
        <v>6.2E-2</v>
      </c>
      <c r="J48">
        <v>4.41E-2</v>
      </c>
      <c r="K48">
        <v>1.4077999999999999</v>
      </c>
      <c r="L48" s="26">
        <v>4.2E-10</v>
      </c>
      <c r="M48" s="26">
        <v>4.3300000000000002E-14</v>
      </c>
      <c r="N48" s="26">
        <v>9.3000000000000002E-11</v>
      </c>
      <c r="O48" s="26">
        <v>7.7699999999999994E-12</v>
      </c>
      <c r="P48" s="26">
        <v>1.2199999999999999E-14</v>
      </c>
      <c r="Q48" s="26">
        <v>7.5700000000000001E-13</v>
      </c>
    </row>
    <row r="49" spans="1:17" x14ac:dyDescent="0.3">
      <c r="A49" t="s">
        <v>93</v>
      </c>
      <c r="B49">
        <v>78.074100000000001</v>
      </c>
      <c r="C49">
        <v>20.865500000000001</v>
      </c>
      <c r="D49">
        <v>0.93910000000000005</v>
      </c>
      <c r="E49">
        <v>0.1084</v>
      </c>
      <c r="F49">
        <v>3.0999999999999999E-3</v>
      </c>
      <c r="G49">
        <v>9.9000000000000008E-3</v>
      </c>
      <c r="H49">
        <v>750</v>
      </c>
      <c r="I49">
        <v>6.3899999999999998E-2</v>
      </c>
      <c r="J49">
        <v>4.0500000000000001E-2</v>
      </c>
      <c r="K49">
        <v>1.5764</v>
      </c>
      <c r="L49" s="26">
        <v>4.19E-10</v>
      </c>
      <c r="M49" s="26">
        <v>4.4600000000000001E-14</v>
      </c>
      <c r="N49" s="26">
        <v>9.2899999999999997E-11</v>
      </c>
      <c r="O49" s="26">
        <v>7.7599999999999992E-12</v>
      </c>
      <c r="P49" s="26">
        <v>1.08E-14</v>
      </c>
      <c r="Q49" s="26">
        <v>7.6799999999999996E-13</v>
      </c>
    </row>
    <row r="50" spans="1:17" x14ac:dyDescent="0.3">
      <c r="A50" t="s">
        <v>94</v>
      </c>
      <c r="B50">
        <v>78.073999999999998</v>
      </c>
      <c r="C50">
        <v>20.865100000000002</v>
      </c>
      <c r="D50">
        <v>0.93879999999999997</v>
      </c>
      <c r="E50">
        <v>0.1105</v>
      </c>
      <c r="F50">
        <v>2.2000000000000001E-3</v>
      </c>
      <c r="G50">
        <v>9.4000000000000004E-3</v>
      </c>
      <c r="H50">
        <v>748</v>
      </c>
      <c r="I50">
        <v>6.6299999999999998E-2</v>
      </c>
      <c r="J50">
        <v>5.2600000000000001E-2</v>
      </c>
      <c r="K50">
        <v>1.2599</v>
      </c>
      <c r="L50" s="26">
        <v>4.2E-10</v>
      </c>
      <c r="M50" s="26">
        <v>4.2600000000000003E-14</v>
      </c>
      <c r="N50" s="26">
        <v>9.3000000000000002E-11</v>
      </c>
      <c r="O50" s="26">
        <v>7.7599999999999992E-12</v>
      </c>
      <c r="P50" s="26">
        <v>8.8699999999999994E-15</v>
      </c>
      <c r="Q50" s="26">
        <v>7.8000000000000001E-13</v>
      </c>
    </row>
    <row r="51" spans="1:17" x14ac:dyDescent="0.3">
      <c r="A51" t="s">
        <v>95</v>
      </c>
      <c r="B51">
        <v>78.0745</v>
      </c>
      <c r="C51">
        <v>20.863</v>
      </c>
      <c r="D51">
        <v>0.93820000000000003</v>
      </c>
      <c r="E51">
        <v>0.11310000000000001</v>
      </c>
      <c r="F51">
        <v>1.4E-3</v>
      </c>
      <c r="G51">
        <v>9.7999999999999997E-3</v>
      </c>
      <c r="H51">
        <v>753</v>
      </c>
      <c r="I51">
        <v>6.8000000000000005E-2</v>
      </c>
      <c r="J51">
        <v>4.7500000000000001E-2</v>
      </c>
      <c r="K51">
        <v>1.4340999999999999</v>
      </c>
      <c r="L51" s="26">
        <v>4.2E-10</v>
      </c>
      <c r="M51" s="26">
        <v>4.4199999999999997E-14</v>
      </c>
      <c r="N51" s="26">
        <v>9.2899999999999997E-11</v>
      </c>
      <c r="O51" s="26">
        <v>7.7599999999999992E-12</v>
      </c>
      <c r="P51" s="26">
        <v>7.2299999999999995E-15</v>
      </c>
      <c r="Q51" s="26">
        <v>7.9400000000000005E-13</v>
      </c>
    </row>
    <row r="52" spans="1:17" x14ac:dyDescent="0.3">
      <c r="A52" t="s">
        <v>96</v>
      </c>
      <c r="B52">
        <v>78.079800000000006</v>
      </c>
      <c r="C52">
        <v>20.854700000000001</v>
      </c>
      <c r="D52">
        <v>0.93859999999999999</v>
      </c>
      <c r="E52">
        <v>0.1144</v>
      </c>
      <c r="F52">
        <v>2.5999999999999999E-3</v>
      </c>
      <c r="G52">
        <v>9.7999999999999997E-3</v>
      </c>
      <c r="H52">
        <v>744</v>
      </c>
      <c r="I52">
        <v>6.9599999999999995E-2</v>
      </c>
      <c r="J52">
        <v>5.7599999999999998E-2</v>
      </c>
      <c r="K52">
        <v>1.2096</v>
      </c>
      <c r="L52" s="26">
        <v>4.2E-10</v>
      </c>
      <c r="M52" s="26">
        <v>4.45E-14</v>
      </c>
      <c r="N52" s="26">
        <v>9.2899999999999997E-11</v>
      </c>
      <c r="O52" s="26">
        <v>7.7699999999999994E-12</v>
      </c>
      <c r="P52" s="26">
        <v>9.8799999999999996E-15</v>
      </c>
      <c r="Q52" s="26">
        <v>8.0799999999999999E-13</v>
      </c>
    </row>
    <row r="53" spans="1:17" x14ac:dyDescent="0.3">
      <c r="A53" t="s">
        <v>97</v>
      </c>
      <c r="B53">
        <v>78.078800000000001</v>
      </c>
      <c r="C53">
        <v>20.853999999999999</v>
      </c>
      <c r="D53">
        <v>0.93899999999999995</v>
      </c>
      <c r="E53">
        <v>0.1166</v>
      </c>
      <c r="F53">
        <v>1.8E-3</v>
      </c>
      <c r="G53">
        <v>9.7999999999999997E-3</v>
      </c>
      <c r="H53">
        <v>748</v>
      </c>
      <c r="I53">
        <v>7.1900000000000006E-2</v>
      </c>
      <c r="J53">
        <v>5.7099999999999998E-2</v>
      </c>
      <c r="K53">
        <v>1.2586999999999999</v>
      </c>
      <c r="L53" s="26">
        <v>4.2E-10</v>
      </c>
      <c r="M53" s="26">
        <v>4.4399999999999999E-14</v>
      </c>
      <c r="N53" s="26">
        <v>9.2899999999999997E-11</v>
      </c>
      <c r="O53" s="26">
        <v>7.7699999999999994E-12</v>
      </c>
      <c r="P53" s="26">
        <v>8.0900000000000001E-15</v>
      </c>
      <c r="Q53" s="26">
        <v>8.2000000000000004E-13</v>
      </c>
    </row>
    <row r="54" spans="1:17" x14ac:dyDescent="0.3">
      <c r="A54" t="s">
        <v>98</v>
      </c>
      <c r="B54">
        <v>78.082800000000006</v>
      </c>
      <c r="C54">
        <v>20.848800000000001</v>
      </c>
      <c r="D54">
        <v>0.9385</v>
      </c>
      <c r="E54">
        <v>0.11799999999999999</v>
      </c>
      <c r="F54">
        <v>2.2000000000000001E-3</v>
      </c>
      <c r="G54">
        <v>9.7000000000000003E-3</v>
      </c>
      <c r="H54">
        <v>745</v>
      </c>
      <c r="I54">
        <v>7.2900000000000006E-2</v>
      </c>
      <c r="J54">
        <v>6.54E-2</v>
      </c>
      <c r="K54">
        <v>1.1146</v>
      </c>
      <c r="L54" s="26">
        <v>4.2E-10</v>
      </c>
      <c r="M54" s="26">
        <v>4.3900000000000001E-14</v>
      </c>
      <c r="N54" s="26">
        <v>9.2899999999999997E-11</v>
      </c>
      <c r="O54" s="26">
        <v>7.7599999999999992E-12</v>
      </c>
      <c r="P54" s="26">
        <v>8.8200000000000005E-15</v>
      </c>
      <c r="Q54" s="26">
        <v>8.3099999999999999E-13</v>
      </c>
    </row>
    <row r="55" spans="1:17" x14ac:dyDescent="0.3">
      <c r="A55" t="s">
        <v>99</v>
      </c>
      <c r="B55">
        <v>78.075299999999999</v>
      </c>
      <c r="C55">
        <v>20.854700000000001</v>
      </c>
      <c r="D55">
        <v>0.93859999999999999</v>
      </c>
      <c r="E55">
        <v>0.121</v>
      </c>
      <c r="F55">
        <v>1E-3</v>
      </c>
      <c r="G55">
        <v>9.2999999999999992E-3</v>
      </c>
      <c r="H55">
        <v>749</v>
      </c>
      <c r="I55">
        <v>7.6499999999999999E-2</v>
      </c>
      <c r="J55">
        <v>5.3900000000000003E-2</v>
      </c>
      <c r="K55">
        <v>1.4195</v>
      </c>
      <c r="L55" s="26">
        <v>4.2E-10</v>
      </c>
      <c r="M55" s="26">
        <v>4.23E-14</v>
      </c>
      <c r="N55" s="26">
        <v>9.2899999999999997E-11</v>
      </c>
      <c r="O55" s="26">
        <v>7.7599999999999992E-12</v>
      </c>
      <c r="P55" s="26">
        <v>6.2299999999999999E-15</v>
      </c>
      <c r="Q55" s="26">
        <v>8.4700000000000003E-13</v>
      </c>
    </row>
    <row r="56" spans="1:17" x14ac:dyDescent="0.3">
      <c r="A56" t="s">
        <v>100</v>
      </c>
      <c r="B56">
        <v>78.075000000000003</v>
      </c>
      <c r="C56">
        <v>20.851400000000002</v>
      </c>
      <c r="D56">
        <v>0.93820000000000003</v>
      </c>
      <c r="E56">
        <v>0.12230000000000001</v>
      </c>
      <c r="F56">
        <v>3.0999999999999999E-3</v>
      </c>
      <c r="G56">
        <v>0.01</v>
      </c>
      <c r="H56">
        <v>745</v>
      </c>
      <c r="I56">
        <v>7.8E-2</v>
      </c>
      <c r="J56">
        <v>5.7099999999999998E-2</v>
      </c>
      <c r="K56">
        <v>1.3663000000000001</v>
      </c>
      <c r="L56" s="26">
        <v>4.2E-10</v>
      </c>
      <c r="M56" s="26">
        <v>4.4900000000000003E-14</v>
      </c>
      <c r="N56" s="26">
        <v>9.2899999999999997E-11</v>
      </c>
      <c r="O56" s="26">
        <v>7.7599999999999992E-12</v>
      </c>
      <c r="P56" s="26">
        <v>1.1E-14</v>
      </c>
      <c r="Q56" s="26">
        <v>8.6399999999999995E-13</v>
      </c>
    </row>
    <row r="57" spans="1:17" x14ac:dyDescent="0.3">
      <c r="A57" t="s">
        <v>101</v>
      </c>
      <c r="B57">
        <v>78.071600000000004</v>
      </c>
      <c r="C57">
        <v>20.8521</v>
      </c>
      <c r="D57">
        <v>0.93930000000000002</v>
      </c>
      <c r="E57">
        <v>0.125</v>
      </c>
      <c r="F57">
        <v>2E-3</v>
      </c>
      <c r="G57">
        <v>1.01E-2</v>
      </c>
      <c r="H57">
        <v>747</v>
      </c>
      <c r="I57">
        <v>8.0799999999999997E-2</v>
      </c>
      <c r="J57">
        <v>6.3200000000000006E-2</v>
      </c>
      <c r="K57">
        <v>1.2796000000000001</v>
      </c>
      <c r="L57" s="26">
        <v>4.2E-10</v>
      </c>
      <c r="M57" s="26">
        <v>4.5400000000000001E-14</v>
      </c>
      <c r="N57" s="26">
        <v>9.2899999999999997E-11</v>
      </c>
      <c r="O57" s="26">
        <v>7.7699999999999994E-12</v>
      </c>
      <c r="P57" s="26">
        <v>8.5400000000000007E-15</v>
      </c>
      <c r="Q57" s="26">
        <v>8.7899999999999999E-13</v>
      </c>
    </row>
    <row r="58" spans="1:17" x14ac:dyDescent="0.3">
      <c r="A58" t="s">
        <v>102</v>
      </c>
      <c r="B58">
        <v>78.078900000000004</v>
      </c>
      <c r="C58">
        <v>20.8431</v>
      </c>
      <c r="D58">
        <v>0.93889999999999996</v>
      </c>
      <c r="E58">
        <v>0.1273</v>
      </c>
      <c r="F58">
        <v>2.2000000000000001E-3</v>
      </c>
      <c r="G58">
        <v>9.5999999999999992E-3</v>
      </c>
      <c r="H58">
        <v>745</v>
      </c>
      <c r="I58">
        <v>8.2900000000000001E-2</v>
      </c>
      <c r="J58">
        <v>7.1300000000000002E-2</v>
      </c>
      <c r="K58">
        <v>1.1631</v>
      </c>
      <c r="L58" s="26">
        <v>4.2E-10</v>
      </c>
      <c r="M58" s="26">
        <v>4.3400000000000003E-14</v>
      </c>
      <c r="N58" s="26">
        <v>9.2899999999999997E-11</v>
      </c>
      <c r="O58" s="26">
        <v>7.7699999999999994E-12</v>
      </c>
      <c r="P58" s="26">
        <v>8.9399999999999993E-15</v>
      </c>
      <c r="Q58" s="26">
        <v>8.9600000000000002E-13</v>
      </c>
    </row>
    <row r="59" spans="1:17" x14ac:dyDescent="0.3">
      <c r="A59" t="s">
        <v>103</v>
      </c>
      <c r="B59">
        <v>78.0762</v>
      </c>
      <c r="C59">
        <v>20.843499999999999</v>
      </c>
      <c r="D59">
        <v>0.93889999999999996</v>
      </c>
      <c r="E59">
        <v>0.12970000000000001</v>
      </c>
      <c r="F59">
        <v>2E-3</v>
      </c>
      <c r="G59">
        <v>9.7000000000000003E-3</v>
      </c>
      <c r="H59">
        <v>744</v>
      </c>
      <c r="I59">
        <v>8.5300000000000001E-2</v>
      </c>
      <c r="J59">
        <v>6.93E-2</v>
      </c>
      <c r="K59">
        <v>1.2313000000000001</v>
      </c>
      <c r="L59" s="26">
        <v>4.2E-10</v>
      </c>
      <c r="M59" s="26">
        <v>4.4000000000000002E-14</v>
      </c>
      <c r="N59" s="26">
        <v>9.2899999999999997E-11</v>
      </c>
      <c r="O59" s="26">
        <v>7.7699999999999994E-12</v>
      </c>
      <c r="P59" s="26">
        <v>8.4200000000000003E-15</v>
      </c>
      <c r="Q59" s="26">
        <v>9.1100000000000006E-13</v>
      </c>
    </row>
    <row r="60" spans="1:17" x14ac:dyDescent="0.3">
      <c r="A60" t="s">
        <v>104</v>
      </c>
      <c r="B60">
        <v>78.078800000000001</v>
      </c>
      <c r="C60">
        <v>20.8385</v>
      </c>
      <c r="D60">
        <v>0.93889999999999996</v>
      </c>
      <c r="E60">
        <v>0.13150000000000001</v>
      </c>
      <c r="F60">
        <v>2.0999999999999999E-3</v>
      </c>
      <c r="G60">
        <v>1.0200000000000001E-2</v>
      </c>
      <c r="H60">
        <v>742</v>
      </c>
      <c r="I60">
        <v>8.7300000000000003E-2</v>
      </c>
      <c r="J60">
        <v>7.5999999999999998E-2</v>
      </c>
      <c r="K60">
        <v>1.1492</v>
      </c>
      <c r="L60" s="26">
        <v>4.2E-10</v>
      </c>
      <c r="M60" s="26">
        <v>4.6E-14</v>
      </c>
      <c r="N60" s="26">
        <v>9.2899999999999997E-11</v>
      </c>
      <c r="O60" s="26">
        <v>7.7699999999999994E-12</v>
      </c>
      <c r="P60" s="26">
        <v>8.9299999999999996E-15</v>
      </c>
      <c r="Q60" s="26">
        <v>9.239999999999999E-13</v>
      </c>
    </row>
    <row r="61" spans="1:17" x14ac:dyDescent="0.3">
      <c r="A61" t="s">
        <v>105</v>
      </c>
      <c r="B61">
        <v>78.078500000000005</v>
      </c>
      <c r="C61">
        <v>20.836300000000001</v>
      </c>
      <c r="D61">
        <v>0.93940000000000001</v>
      </c>
      <c r="E61">
        <v>0.1336</v>
      </c>
      <c r="F61">
        <v>2.3E-3</v>
      </c>
      <c r="G61">
        <v>0.01</v>
      </c>
      <c r="H61">
        <v>745</v>
      </c>
      <c r="I61">
        <v>8.8599999999999998E-2</v>
      </c>
      <c r="J61">
        <v>7.51E-2</v>
      </c>
      <c r="K61">
        <v>1.1798999999999999</v>
      </c>
      <c r="L61" s="26">
        <v>4.2E-10</v>
      </c>
      <c r="M61" s="26">
        <v>4.5099999999999998E-14</v>
      </c>
      <c r="N61" s="26">
        <v>9.2899999999999997E-11</v>
      </c>
      <c r="O61" s="26">
        <v>7.7799999999999996E-12</v>
      </c>
      <c r="P61" s="26">
        <v>9.1199999999999999E-15</v>
      </c>
      <c r="Q61" s="26">
        <v>9.3899999999999994E-13</v>
      </c>
    </row>
    <row r="62" spans="1:17" x14ac:dyDescent="0.3">
      <c r="A62" t="s">
        <v>106</v>
      </c>
      <c r="B62">
        <v>78.078199999999995</v>
      </c>
      <c r="C62">
        <v>20.835000000000001</v>
      </c>
      <c r="D62">
        <v>0.93889999999999996</v>
      </c>
      <c r="E62">
        <v>0.1361</v>
      </c>
      <c r="F62">
        <v>2E-3</v>
      </c>
      <c r="G62">
        <v>9.9000000000000008E-3</v>
      </c>
      <c r="H62">
        <v>739</v>
      </c>
      <c r="I62">
        <v>9.1700000000000004E-2</v>
      </c>
      <c r="J62">
        <v>7.9799999999999996E-2</v>
      </c>
      <c r="K62">
        <v>1.1488</v>
      </c>
      <c r="L62" s="26">
        <v>4.2E-10</v>
      </c>
      <c r="M62" s="26">
        <v>4.4800000000000002E-14</v>
      </c>
      <c r="N62" s="26">
        <v>9.2899999999999997E-11</v>
      </c>
      <c r="O62" s="26">
        <v>7.7699999999999994E-12</v>
      </c>
      <c r="P62" s="26">
        <v>8.4700000000000008E-15</v>
      </c>
      <c r="Q62" s="26">
        <v>9.5599999999999997E-13</v>
      </c>
    </row>
    <row r="63" spans="1:17" x14ac:dyDescent="0.3">
      <c r="A63" t="s">
        <v>107</v>
      </c>
      <c r="B63">
        <v>78.08</v>
      </c>
      <c r="C63">
        <v>20.831099999999999</v>
      </c>
      <c r="D63">
        <v>0.9385</v>
      </c>
      <c r="E63">
        <v>0.1386</v>
      </c>
      <c r="F63">
        <v>1.6000000000000001E-3</v>
      </c>
      <c r="G63">
        <v>1.0200000000000001E-2</v>
      </c>
      <c r="H63">
        <v>744</v>
      </c>
      <c r="I63">
        <v>9.4100000000000003E-2</v>
      </c>
      <c r="J63">
        <v>8.7099999999999997E-2</v>
      </c>
      <c r="K63">
        <v>1.0798000000000001</v>
      </c>
      <c r="L63" s="26">
        <v>4.2E-10</v>
      </c>
      <c r="M63" s="26">
        <v>4.5699999999999997E-14</v>
      </c>
      <c r="N63" s="26">
        <v>9.2899999999999997E-11</v>
      </c>
      <c r="O63" s="26">
        <v>7.7699999999999994E-12</v>
      </c>
      <c r="P63" s="26">
        <v>7.7400000000000003E-15</v>
      </c>
      <c r="Q63" s="26">
        <v>9.720000000000001E-13</v>
      </c>
    </row>
    <row r="64" spans="1:17" x14ac:dyDescent="0.3">
      <c r="A64" t="s">
        <v>108</v>
      </c>
      <c r="B64">
        <v>78.083299999999994</v>
      </c>
      <c r="C64">
        <v>20.8247</v>
      </c>
      <c r="D64">
        <v>0.93869999999999998</v>
      </c>
      <c r="E64">
        <v>0.1416</v>
      </c>
      <c r="F64">
        <v>1.8E-3</v>
      </c>
      <c r="G64">
        <v>9.9000000000000008E-3</v>
      </c>
      <c r="H64">
        <v>745</v>
      </c>
      <c r="I64">
        <v>9.6799999999999997E-2</v>
      </c>
      <c r="J64">
        <v>9.1600000000000001E-2</v>
      </c>
      <c r="K64">
        <v>1.0569</v>
      </c>
      <c r="L64" s="26">
        <v>4.2E-10</v>
      </c>
      <c r="M64" s="26">
        <v>4.4600000000000001E-14</v>
      </c>
      <c r="N64" s="26">
        <v>9.2899999999999997E-11</v>
      </c>
      <c r="O64" s="26">
        <v>7.7699999999999994E-12</v>
      </c>
      <c r="P64" s="26">
        <v>8.0200000000000002E-15</v>
      </c>
      <c r="Q64" s="26">
        <v>9.9299999999999991E-13</v>
      </c>
    </row>
    <row r="65" spans="1:17" x14ac:dyDescent="0.3">
      <c r="A65" t="s">
        <v>109</v>
      </c>
      <c r="B65">
        <v>78.078000000000003</v>
      </c>
      <c r="C65">
        <v>20.827300000000001</v>
      </c>
      <c r="D65">
        <v>0.9385</v>
      </c>
      <c r="E65">
        <v>0.1439</v>
      </c>
      <c r="F65">
        <v>2.5000000000000001E-3</v>
      </c>
      <c r="G65">
        <v>9.7999999999999997E-3</v>
      </c>
      <c r="H65">
        <v>741</v>
      </c>
      <c r="I65">
        <v>9.9400000000000002E-2</v>
      </c>
      <c r="J65">
        <v>8.8400000000000006E-2</v>
      </c>
      <c r="K65">
        <v>1.1242000000000001</v>
      </c>
      <c r="L65" s="26">
        <v>4.2E-10</v>
      </c>
      <c r="M65" s="26">
        <v>4.4299999999999998E-14</v>
      </c>
      <c r="N65" s="26">
        <v>9.2800000000000005E-11</v>
      </c>
      <c r="O65" s="26">
        <v>7.7599999999999992E-12</v>
      </c>
      <c r="P65" s="26">
        <v>9.5700000000000005E-15</v>
      </c>
      <c r="Q65" s="26">
        <v>1.0099999999999999E-12</v>
      </c>
    </row>
    <row r="66" spans="1:17" x14ac:dyDescent="0.3">
      <c r="A66" t="s">
        <v>110</v>
      </c>
      <c r="B66">
        <v>78.078900000000004</v>
      </c>
      <c r="C66">
        <v>20.8232</v>
      </c>
      <c r="D66">
        <v>0.93859999999999999</v>
      </c>
      <c r="E66">
        <v>0.14760000000000001</v>
      </c>
      <c r="F66">
        <v>1.5E-3</v>
      </c>
      <c r="G66">
        <v>1.0200000000000001E-2</v>
      </c>
      <c r="H66">
        <v>747</v>
      </c>
      <c r="I66">
        <v>0.1032</v>
      </c>
      <c r="J66">
        <v>9.3200000000000005E-2</v>
      </c>
      <c r="K66">
        <v>1.1071</v>
      </c>
      <c r="L66" s="26">
        <v>4.2E-10</v>
      </c>
      <c r="M66" s="26">
        <v>4.5799999999999998E-14</v>
      </c>
      <c r="N66" s="26">
        <v>9.2800000000000005E-11</v>
      </c>
      <c r="O66" s="26">
        <v>7.7599999999999992E-12</v>
      </c>
      <c r="P66" s="26">
        <v>7.4600000000000005E-15</v>
      </c>
      <c r="Q66" s="26">
        <v>1.0300000000000001E-12</v>
      </c>
    </row>
    <row r="67" spans="1:17" x14ac:dyDescent="0.3">
      <c r="A67" t="s">
        <v>111</v>
      </c>
      <c r="B67">
        <v>78.075100000000006</v>
      </c>
      <c r="C67">
        <v>20.8233</v>
      </c>
      <c r="D67">
        <v>0.93910000000000005</v>
      </c>
      <c r="E67">
        <v>0.14929999999999999</v>
      </c>
      <c r="F67">
        <v>3.3999999999999998E-3</v>
      </c>
      <c r="G67">
        <v>9.7999999999999997E-3</v>
      </c>
      <c r="H67">
        <v>727</v>
      </c>
      <c r="I67">
        <v>0.1041</v>
      </c>
      <c r="J67">
        <v>8.72E-2</v>
      </c>
      <c r="K67">
        <v>1.1935</v>
      </c>
      <c r="L67" s="26">
        <v>4.2E-10</v>
      </c>
      <c r="M67" s="26">
        <v>4.4299999999999998E-14</v>
      </c>
      <c r="N67" s="26">
        <v>9.2800000000000005E-11</v>
      </c>
      <c r="O67" s="26">
        <v>7.7699999999999994E-12</v>
      </c>
      <c r="P67" s="26">
        <v>1.15E-14</v>
      </c>
      <c r="Q67" s="26">
        <v>1.05E-12</v>
      </c>
    </row>
    <row r="68" spans="1:17" x14ac:dyDescent="0.3">
      <c r="A68" t="s">
        <v>112</v>
      </c>
      <c r="B68">
        <v>78.078800000000001</v>
      </c>
      <c r="C68">
        <v>20.8171</v>
      </c>
      <c r="D68">
        <v>0.93899999999999995</v>
      </c>
      <c r="E68">
        <v>0.15240000000000001</v>
      </c>
      <c r="F68">
        <v>3.3E-3</v>
      </c>
      <c r="G68">
        <v>9.2999999999999992E-3</v>
      </c>
      <c r="H68">
        <v>729</v>
      </c>
      <c r="I68">
        <v>0.1077</v>
      </c>
      <c r="J68">
        <v>0.09</v>
      </c>
      <c r="K68">
        <v>1.1964999999999999</v>
      </c>
      <c r="L68" s="26">
        <v>4.2E-10</v>
      </c>
      <c r="M68" s="26">
        <v>4.2500000000000002E-14</v>
      </c>
      <c r="N68" s="26">
        <v>9.27E-11</v>
      </c>
      <c r="O68" s="26">
        <v>7.7699999999999994E-12</v>
      </c>
      <c r="P68" s="26">
        <v>1.1200000000000001E-14</v>
      </c>
      <c r="Q68" s="26">
        <v>1.0700000000000001E-12</v>
      </c>
    </row>
    <row r="69" spans="1:17" x14ac:dyDescent="0.3">
      <c r="A69" t="s">
        <v>113</v>
      </c>
      <c r="B69">
        <v>78.078299999999999</v>
      </c>
      <c r="C69">
        <v>20.813300000000002</v>
      </c>
      <c r="D69">
        <v>0.93910000000000005</v>
      </c>
      <c r="E69">
        <v>0.1552</v>
      </c>
      <c r="F69">
        <v>3.8E-3</v>
      </c>
      <c r="G69">
        <v>1.04E-2</v>
      </c>
      <c r="H69">
        <v>727</v>
      </c>
      <c r="I69">
        <v>0.10979999999999999</v>
      </c>
      <c r="J69">
        <v>9.2399999999999996E-2</v>
      </c>
      <c r="K69">
        <v>1.1888000000000001</v>
      </c>
      <c r="L69" s="26">
        <v>4.2E-10</v>
      </c>
      <c r="M69" s="26">
        <v>4.6400000000000003E-14</v>
      </c>
      <c r="N69" s="26">
        <v>9.27E-11</v>
      </c>
      <c r="O69" s="26">
        <v>7.7699999999999994E-12</v>
      </c>
      <c r="P69" s="26">
        <v>1.26E-14</v>
      </c>
      <c r="Q69" s="26">
        <v>1.09E-12</v>
      </c>
    </row>
    <row r="70" spans="1:17" x14ac:dyDescent="0.3">
      <c r="A70" t="s">
        <v>114</v>
      </c>
      <c r="B70">
        <v>78.076800000000006</v>
      </c>
      <c r="C70">
        <v>20.8123</v>
      </c>
      <c r="D70">
        <v>0.93910000000000005</v>
      </c>
      <c r="E70">
        <v>0.1583</v>
      </c>
      <c r="F70">
        <v>3.3999999999999998E-3</v>
      </c>
      <c r="G70">
        <v>1.0200000000000001E-2</v>
      </c>
      <c r="H70">
        <v>726</v>
      </c>
      <c r="I70">
        <v>0.1139</v>
      </c>
      <c r="J70">
        <v>9.2100000000000001E-2</v>
      </c>
      <c r="K70">
        <v>1.236</v>
      </c>
      <c r="L70" s="26">
        <v>4.19E-10</v>
      </c>
      <c r="M70" s="26">
        <v>4.5799999999999998E-14</v>
      </c>
      <c r="N70" s="26">
        <v>9.2599999999999996E-11</v>
      </c>
      <c r="O70" s="26">
        <v>7.7599999999999992E-12</v>
      </c>
      <c r="P70" s="26">
        <v>1.1600000000000001E-14</v>
      </c>
      <c r="Q70" s="26">
        <v>1.1099999999999999E-12</v>
      </c>
    </row>
    <row r="71" spans="1:17" x14ac:dyDescent="0.3">
      <c r="A71" t="s">
        <v>115</v>
      </c>
      <c r="B71">
        <v>78.078699999999998</v>
      </c>
      <c r="C71">
        <v>20.806899999999999</v>
      </c>
      <c r="D71">
        <v>0.93889999999999996</v>
      </c>
      <c r="E71">
        <v>0.16220000000000001</v>
      </c>
      <c r="F71">
        <v>2.5999999999999999E-3</v>
      </c>
      <c r="G71">
        <v>1.0699999999999999E-2</v>
      </c>
      <c r="H71">
        <v>734</v>
      </c>
      <c r="I71">
        <v>0.11700000000000001</v>
      </c>
      <c r="J71">
        <v>0.1074</v>
      </c>
      <c r="K71">
        <v>1.0893999999999999</v>
      </c>
      <c r="L71" s="26">
        <v>4.19E-10</v>
      </c>
      <c r="M71" s="26">
        <v>4.76E-14</v>
      </c>
      <c r="N71" s="26">
        <v>9.2599999999999996E-11</v>
      </c>
      <c r="O71" s="26">
        <v>7.7599999999999992E-12</v>
      </c>
      <c r="P71" s="26">
        <v>1.0099999999999999E-14</v>
      </c>
      <c r="Q71" s="26">
        <v>1.14E-12</v>
      </c>
    </row>
    <row r="72" spans="1:17" x14ac:dyDescent="0.3">
      <c r="A72" t="s">
        <v>116</v>
      </c>
      <c r="B72">
        <v>78.080600000000004</v>
      </c>
      <c r="C72">
        <v>20.8032</v>
      </c>
      <c r="D72">
        <v>0.93920000000000003</v>
      </c>
      <c r="E72">
        <v>0.16520000000000001</v>
      </c>
      <c r="F72">
        <v>2.2000000000000001E-3</v>
      </c>
      <c r="G72">
        <v>9.5999999999999992E-3</v>
      </c>
      <c r="H72">
        <v>740</v>
      </c>
      <c r="I72">
        <v>0.1207</v>
      </c>
      <c r="J72">
        <v>0.10920000000000001</v>
      </c>
      <c r="K72">
        <v>1.1046</v>
      </c>
      <c r="L72" s="26">
        <v>4.2E-10</v>
      </c>
      <c r="M72" s="26">
        <v>4.3499999999999998E-14</v>
      </c>
      <c r="N72" s="26">
        <v>9.27E-11</v>
      </c>
      <c r="O72" s="26">
        <v>7.7699999999999994E-12</v>
      </c>
      <c r="P72" s="26">
        <v>8.8699999999999994E-15</v>
      </c>
      <c r="Q72" s="26">
        <v>1.1599999999999999E-12</v>
      </c>
    </row>
    <row r="73" spans="1:17" x14ac:dyDescent="0.3">
      <c r="A73" t="s">
        <v>117</v>
      </c>
      <c r="B73">
        <v>78.081800000000001</v>
      </c>
      <c r="C73">
        <v>20.798999999999999</v>
      </c>
      <c r="D73">
        <v>0.93889999999999996</v>
      </c>
      <c r="E73">
        <v>0.16800000000000001</v>
      </c>
      <c r="F73">
        <v>3.3E-3</v>
      </c>
      <c r="G73">
        <v>8.9999999999999993E-3</v>
      </c>
      <c r="H73">
        <v>741</v>
      </c>
      <c r="I73">
        <v>0.1235</v>
      </c>
      <c r="J73">
        <v>0.11119999999999999</v>
      </c>
      <c r="K73">
        <v>1.1111</v>
      </c>
      <c r="L73" s="26">
        <v>4.19E-10</v>
      </c>
      <c r="M73" s="26">
        <v>4.1199999999999997E-14</v>
      </c>
      <c r="N73" s="26">
        <v>9.2599999999999996E-11</v>
      </c>
      <c r="O73" s="26">
        <v>7.7599999999999992E-12</v>
      </c>
      <c r="P73" s="26">
        <v>1.1200000000000001E-14</v>
      </c>
      <c r="Q73" s="26">
        <v>1.18E-12</v>
      </c>
    </row>
    <row r="74" spans="1:17" x14ac:dyDescent="0.3">
      <c r="A74" t="s">
        <v>118</v>
      </c>
      <c r="B74">
        <v>78.075999999999993</v>
      </c>
      <c r="C74">
        <v>20.8005</v>
      </c>
      <c r="D74">
        <v>0.93910000000000005</v>
      </c>
      <c r="E74">
        <v>0.17150000000000001</v>
      </c>
      <c r="F74">
        <v>3.0000000000000001E-3</v>
      </c>
      <c r="G74">
        <v>9.7999999999999997E-3</v>
      </c>
      <c r="H74">
        <v>727</v>
      </c>
      <c r="I74">
        <v>0.127</v>
      </c>
      <c r="J74">
        <v>0.1128</v>
      </c>
      <c r="K74">
        <v>1.1264000000000001</v>
      </c>
      <c r="L74" s="26">
        <v>4.19E-10</v>
      </c>
      <c r="M74" s="26">
        <v>4.4299999999999998E-14</v>
      </c>
      <c r="N74" s="26">
        <v>9.2599999999999996E-11</v>
      </c>
      <c r="O74" s="26">
        <v>7.7599999999999992E-12</v>
      </c>
      <c r="P74" s="26">
        <v>1.07E-14</v>
      </c>
      <c r="Q74" s="26">
        <v>1.1999999999999999E-12</v>
      </c>
    </row>
    <row r="75" spans="1:17" x14ac:dyDescent="0.3">
      <c r="A75" t="s">
        <v>119</v>
      </c>
      <c r="B75">
        <v>78.083100000000002</v>
      </c>
      <c r="C75">
        <v>20.790500000000002</v>
      </c>
      <c r="D75">
        <v>0.93910000000000005</v>
      </c>
      <c r="E75">
        <v>0.1749</v>
      </c>
      <c r="F75">
        <v>2.3999999999999998E-3</v>
      </c>
      <c r="G75">
        <v>0.01</v>
      </c>
      <c r="H75">
        <v>738</v>
      </c>
      <c r="I75">
        <v>0.1305</v>
      </c>
      <c r="J75">
        <v>0.12239999999999999</v>
      </c>
      <c r="K75">
        <v>1.0660000000000001</v>
      </c>
      <c r="L75" s="26">
        <v>4.2E-10</v>
      </c>
      <c r="M75" s="26">
        <v>4.4999999999999998E-14</v>
      </c>
      <c r="N75" s="26">
        <v>9.2599999999999996E-11</v>
      </c>
      <c r="O75" s="26">
        <v>7.7699999999999994E-12</v>
      </c>
      <c r="P75" s="26">
        <v>9.4900000000000008E-15</v>
      </c>
      <c r="Q75" s="26">
        <v>1.2200000000000001E-12</v>
      </c>
    </row>
    <row r="76" spans="1:17" x14ac:dyDescent="0.3">
      <c r="A76" t="s">
        <v>120</v>
      </c>
      <c r="B76">
        <v>78.079599999999999</v>
      </c>
      <c r="C76">
        <v>20.790600000000001</v>
      </c>
      <c r="D76">
        <v>0.9395</v>
      </c>
      <c r="E76">
        <v>0.17829999999999999</v>
      </c>
      <c r="F76">
        <v>2.8999999999999998E-3</v>
      </c>
      <c r="G76">
        <v>9.1999999999999998E-3</v>
      </c>
      <c r="H76">
        <v>745</v>
      </c>
      <c r="I76">
        <v>0.13320000000000001</v>
      </c>
      <c r="J76">
        <v>0.1236</v>
      </c>
      <c r="K76">
        <v>1.0775999999999999</v>
      </c>
      <c r="L76" s="26">
        <v>4.2E-10</v>
      </c>
      <c r="M76" s="26">
        <v>4.1899999999999997E-14</v>
      </c>
      <c r="N76" s="26">
        <v>9.2599999999999996E-11</v>
      </c>
      <c r="O76" s="26">
        <v>7.7699999999999994E-12</v>
      </c>
      <c r="P76" s="26">
        <v>1.02E-14</v>
      </c>
      <c r="Q76" s="26">
        <v>1.2499999999999999E-12</v>
      </c>
    </row>
    <row r="77" spans="1:17" x14ac:dyDescent="0.3">
      <c r="A77" t="s">
        <v>121</v>
      </c>
      <c r="B77">
        <v>78.088200000000001</v>
      </c>
      <c r="C77">
        <v>20.7789</v>
      </c>
      <c r="D77">
        <v>0.93830000000000002</v>
      </c>
      <c r="E77">
        <v>0.1817</v>
      </c>
      <c r="F77">
        <v>2.5999999999999999E-3</v>
      </c>
      <c r="G77">
        <v>1.04E-2</v>
      </c>
      <c r="H77">
        <v>736</v>
      </c>
      <c r="I77">
        <v>0.13700000000000001</v>
      </c>
      <c r="J77">
        <v>0.1366</v>
      </c>
      <c r="K77">
        <v>1.0032000000000001</v>
      </c>
      <c r="L77" s="26">
        <v>4.2E-10</v>
      </c>
      <c r="M77" s="26">
        <v>4.6499999999999997E-14</v>
      </c>
      <c r="N77" s="26">
        <v>9.2599999999999996E-11</v>
      </c>
      <c r="O77" s="26">
        <v>7.7599999999999992E-12</v>
      </c>
      <c r="P77" s="26">
        <v>1E-14</v>
      </c>
      <c r="Q77" s="26">
        <v>1.27E-12</v>
      </c>
    </row>
    <row r="78" spans="1:17" x14ac:dyDescent="0.3">
      <c r="A78" t="s">
        <v>122</v>
      </c>
      <c r="B78">
        <v>78.081900000000005</v>
      </c>
      <c r="C78">
        <v>20.782</v>
      </c>
      <c r="D78">
        <v>0.93879999999999997</v>
      </c>
      <c r="E78">
        <v>0.18509999999999999</v>
      </c>
      <c r="F78">
        <v>2.3E-3</v>
      </c>
      <c r="G78">
        <v>9.7999999999999997E-3</v>
      </c>
      <c r="H78">
        <v>739</v>
      </c>
      <c r="I78">
        <v>0.14069999999999999</v>
      </c>
      <c r="J78">
        <v>0.12770000000000001</v>
      </c>
      <c r="K78">
        <v>1.1014999999999999</v>
      </c>
      <c r="L78" s="26">
        <v>4.19E-10</v>
      </c>
      <c r="M78" s="26">
        <v>4.4399999999999999E-14</v>
      </c>
      <c r="N78" s="26">
        <v>9.2500000000000004E-11</v>
      </c>
      <c r="O78" s="26">
        <v>7.7599999999999992E-12</v>
      </c>
      <c r="P78" s="26">
        <v>9.2900000000000007E-15</v>
      </c>
      <c r="Q78" s="26">
        <v>1.29E-12</v>
      </c>
    </row>
    <row r="79" spans="1:17" x14ac:dyDescent="0.3">
      <c r="A79" t="s">
        <v>123</v>
      </c>
      <c r="B79">
        <v>78.086299999999994</v>
      </c>
      <c r="C79">
        <v>20.773199999999999</v>
      </c>
      <c r="D79">
        <v>0.9395</v>
      </c>
      <c r="E79">
        <v>0.189</v>
      </c>
      <c r="F79">
        <v>1.6999999999999999E-3</v>
      </c>
      <c r="G79">
        <v>1.03E-2</v>
      </c>
      <c r="H79">
        <v>726</v>
      </c>
      <c r="I79">
        <v>0.1439</v>
      </c>
      <c r="J79">
        <v>0.13769999999999999</v>
      </c>
      <c r="K79">
        <v>1.0451999999999999</v>
      </c>
      <c r="L79" s="26">
        <v>4.2E-10</v>
      </c>
      <c r="M79" s="26">
        <v>4.6200000000000001E-14</v>
      </c>
      <c r="N79" s="26">
        <v>9.2500000000000004E-11</v>
      </c>
      <c r="O79" s="26">
        <v>7.7699999999999994E-12</v>
      </c>
      <c r="P79" s="26">
        <v>8.0100000000000004E-15</v>
      </c>
      <c r="Q79" s="26">
        <v>1.32E-12</v>
      </c>
    </row>
    <row r="80" spans="1:17" x14ac:dyDescent="0.3">
      <c r="A80" t="s">
        <v>124</v>
      </c>
      <c r="B80">
        <v>78.085599999999999</v>
      </c>
      <c r="C80">
        <v>20.770299999999999</v>
      </c>
      <c r="D80">
        <v>0.93879999999999997</v>
      </c>
      <c r="E80">
        <v>0.193</v>
      </c>
      <c r="F80">
        <v>2.3999999999999998E-3</v>
      </c>
      <c r="G80">
        <v>9.9000000000000008E-3</v>
      </c>
      <c r="H80">
        <v>734</v>
      </c>
      <c r="I80">
        <v>0.14799999999999999</v>
      </c>
      <c r="J80">
        <v>0.14219999999999999</v>
      </c>
      <c r="K80">
        <v>1.0406</v>
      </c>
      <c r="L80" s="26">
        <v>4.2E-10</v>
      </c>
      <c r="M80" s="26">
        <v>4.4900000000000003E-14</v>
      </c>
      <c r="N80" s="26">
        <v>9.2599999999999996E-11</v>
      </c>
      <c r="O80" s="26">
        <v>7.7699999999999994E-12</v>
      </c>
      <c r="P80" s="26">
        <v>9.3600000000000006E-15</v>
      </c>
      <c r="Q80" s="26">
        <v>1.3499999999999999E-12</v>
      </c>
    </row>
    <row r="81" spans="1:17" x14ac:dyDescent="0.3">
      <c r="A81" t="s">
        <v>125</v>
      </c>
      <c r="B81">
        <v>78.082099999999997</v>
      </c>
      <c r="C81">
        <v>20.77</v>
      </c>
      <c r="D81">
        <v>0.93899999999999995</v>
      </c>
      <c r="E81">
        <v>0.19639999999999999</v>
      </c>
      <c r="F81">
        <v>3.0000000000000001E-3</v>
      </c>
      <c r="G81">
        <v>9.4999999999999998E-3</v>
      </c>
      <c r="H81">
        <v>745</v>
      </c>
      <c r="I81">
        <v>0.15140000000000001</v>
      </c>
      <c r="J81">
        <v>0.14080000000000001</v>
      </c>
      <c r="K81">
        <v>1.0755999999999999</v>
      </c>
      <c r="L81" s="26">
        <v>4.2E-10</v>
      </c>
      <c r="M81" s="26">
        <v>4.3300000000000002E-14</v>
      </c>
      <c r="N81" s="26">
        <v>9.2500000000000004E-11</v>
      </c>
      <c r="O81" s="26">
        <v>7.7699999999999994E-12</v>
      </c>
      <c r="P81" s="26">
        <v>1.07E-14</v>
      </c>
      <c r="Q81" s="26">
        <v>1.37E-12</v>
      </c>
    </row>
    <row r="82" spans="1:17" x14ac:dyDescent="0.3">
      <c r="A82" t="s">
        <v>126</v>
      </c>
      <c r="B82">
        <v>78.081699999999998</v>
      </c>
      <c r="C82">
        <v>20.7669</v>
      </c>
      <c r="D82">
        <v>0.93940000000000001</v>
      </c>
      <c r="E82">
        <v>0.19980000000000001</v>
      </c>
      <c r="F82">
        <v>2.5000000000000001E-3</v>
      </c>
      <c r="G82">
        <v>9.7000000000000003E-3</v>
      </c>
      <c r="H82">
        <v>726</v>
      </c>
      <c r="I82">
        <v>0.15429999999999999</v>
      </c>
      <c r="J82">
        <v>0.1462</v>
      </c>
      <c r="K82">
        <v>1.0559000000000001</v>
      </c>
      <c r="L82" s="26">
        <v>4.2E-10</v>
      </c>
      <c r="M82" s="26">
        <v>4.4000000000000002E-14</v>
      </c>
      <c r="N82" s="26">
        <v>9.2599999999999996E-11</v>
      </c>
      <c r="O82" s="26">
        <v>7.7699999999999994E-12</v>
      </c>
      <c r="P82" s="26">
        <v>9.7000000000000006E-15</v>
      </c>
      <c r="Q82" s="26">
        <v>1.4000000000000001E-12</v>
      </c>
    </row>
    <row r="83" spans="1:17" x14ac:dyDescent="0.3">
      <c r="A83" t="s">
        <v>127</v>
      </c>
      <c r="B83">
        <v>78.087900000000005</v>
      </c>
      <c r="C83">
        <v>20.755800000000001</v>
      </c>
      <c r="D83">
        <v>0.93930000000000002</v>
      </c>
      <c r="E83">
        <v>0.2041</v>
      </c>
      <c r="F83">
        <v>2.3E-3</v>
      </c>
      <c r="G83">
        <v>1.0699999999999999E-2</v>
      </c>
      <c r="H83">
        <v>731</v>
      </c>
      <c r="I83">
        <v>0.15870000000000001</v>
      </c>
      <c r="J83">
        <v>0.15890000000000001</v>
      </c>
      <c r="K83">
        <v>0.99909999999999999</v>
      </c>
      <c r="L83" s="26">
        <v>4.2E-10</v>
      </c>
      <c r="M83" s="26">
        <v>4.76E-14</v>
      </c>
      <c r="N83" s="26">
        <v>9.2500000000000004E-11</v>
      </c>
      <c r="O83" s="26">
        <v>7.7699999999999994E-12</v>
      </c>
      <c r="P83" s="26">
        <v>9.4500000000000001E-15</v>
      </c>
      <c r="Q83" s="26">
        <v>1.42E-12</v>
      </c>
    </row>
    <row r="84" spans="1:17" x14ac:dyDescent="0.3">
      <c r="A84" t="s">
        <v>128</v>
      </c>
      <c r="B84">
        <v>78.088700000000003</v>
      </c>
      <c r="C84">
        <v>20.752099999999999</v>
      </c>
      <c r="D84">
        <v>0.93899999999999995</v>
      </c>
      <c r="E84">
        <v>0.20780000000000001</v>
      </c>
      <c r="F84">
        <v>3.5000000000000001E-3</v>
      </c>
      <c r="G84">
        <v>8.8999999999999999E-3</v>
      </c>
      <c r="H84">
        <v>741</v>
      </c>
      <c r="I84">
        <v>0.1633</v>
      </c>
      <c r="J84">
        <v>0.1668</v>
      </c>
      <c r="K84">
        <v>0.97889999999999999</v>
      </c>
      <c r="L84" s="26">
        <v>4.2E-10</v>
      </c>
      <c r="M84" s="26">
        <v>4.0900000000000001E-14</v>
      </c>
      <c r="N84" s="26">
        <v>9.2500000000000004E-11</v>
      </c>
      <c r="O84" s="26">
        <v>7.7699999999999994E-12</v>
      </c>
      <c r="P84" s="26">
        <v>1.15E-14</v>
      </c>
      <c r="Q84" s="26">
        <v>1.4500000000000001E-12</v>
      </c>
    </row>
    <row r="85" spans="1:17" x14ac:dyDescent="0.3">
      <c r="A85" t="s">
        <v>129</v>
      </c>
      <c r="B85">
        <v>78.089100000000002</v>
      </c>
      <c r="C85">
        <v>20.746500000000001</v>
      </c>
      <c r="D85">
        <v>0.93930000000000002</v>
      </c>
      <c r="E85">
        <v>0.21199999999999999</v>
      </c>
      <c r="F85">
        <v>3.2000000000000002E-3</v>
      </c>
      <c r="G85">
        <v>9.9000000000000008E-3</v>
      </c>
      <c r="H85">
        <v>732</v>
      </c>
      <c r="I85">
        <v>0.1668</v>
      </c>
      <c r="J85">
        <v>0.16650000000000001</v>
      </c>
      <c r="K85">
        <v>1.0017</v>
      </c>
      <c r="L85" s="26">
        <v>4.2E-10</v>
      </c>
      <c r="M85" s="26">
        <v>4.4700000000000001E-14</v>
      </c>
      <c r="N85" s="26">
        <v>9.2500000000000004E-11</v>
      </c>
      <c r="O85" s="26">
        <v>7.7699999999999994E-12</v>
      </c>
      <c r="P85" s="26">
        <v>1.11E-14</v>
      </c>
      <c r="Q85" s="26">
        <v>1.48E-12</v>
      </c>
    </row>
    <row r="86" spans="1:17" x14ac:dyDescent="0.3">
      <c r="A86" t="s">
        <v>130</v>
      </c>
      <c r="B86">
        <v>78.087800000000001</v>
      </c>
      <c r="C86">
        <v>20.7439</v>
      </c>
      <c r="D86">
        <v>0.93899999999999995</v>
      </c>
      <c r="E86">
        <v>0.2167</v>
      </c>
      <c r="F86">
        <v>2.3999999999999998E-3</v>
      </c>
      <c r="G86">
        <v>1.0200000000000001E-2</v>
      </c>
      <c r="H86">
        <v>730</v>
      </c>
      <c r="I86">
        <v>0.17199999999999999</v>
      </c>
      <c r="J86">
        <v>0.1724</v>
      </c>
      <c r="K86">
        <v>0.998</v>
      </c>
      <c r="L86" s="26">
        <v>4.2E-10</v>
      </c>
      <c r="M86" s="26">
        <v>4.5799999999999998E-14</v>
      </c>
      <c r="N86" s="26">
        <v>9.2500000000000004E-11</v>
      </c>
      <c r="O86" s="26">
        <v>7.7699999999999994E-12</v>
      </c>
      <c r="P86" s="26">
        <v>9.5700000000000005E-15</v>
      </c>
      <c r="Q86" s="26">
        <v>1.51E-12</v>
      </c>
    </row>
    <row r="87" spans="1:17" x14ac:dyDescent="0.3">
      <c r="A87" t="s">
        <v>131</v>
      </c>
      <c r="B87">
        <v>78.087199999999996</v>
      </c>
      <c r="C87">
        <v>20.7408</v>
      </c>
      <c r="D87">
        <v>0.93879999999999997</v>
      </c>
      <c r="E87">
        <v>0.22040000000000001</v>
      </c>
      <c r="F87">
        <v>3.3E-3</v>
      </c>
      <c r="G87">
        <v>9.4000000000000004E-3</v>
      </c>
      <c r="H87">
        <v>741</v>
      </c>
      <c r="I87">
        <v>0.17599999999999999</v>
      </c>
      <c r="J87">
        <v>0.17460000000000001</v>
      </c>
      <c r="K87">
        <v>1.0082</v>
      </c>
      <c r="L87" s="26">
        <v>4.2E-10</v>
      </c>
      <c r="M87" s="26">
        <v>4.2799999999999998E-14</v>
      </c>
      <c r="N87" s="26">
        <v>9.2399999999999999E-11</v>
      </c>
      <c r="O87" s="26">
        <v>7.7599999999999992E-12</v>
      </c>
      <c r="P87" s="26">
        <v>1.1400000000000001E-14</v>
      </c>
      <c r="Q87" s="26">
        <v>1.5399999999999999E-12</v>
      </c>
    </row>
    <row r="88" spans="1:17" x14ac:dyDescent="0.3">
      <c r="A88" t="s">
        <v>132</v>
      </c>
      <c r="B88">
        <v>78.086500000000001</v>
      </c>
      <c r="C88">
        <v>20.736000000000001</v>
      </c>
      <c r="D88">
        <v>0.93920000000000003</v>
      </c>
      <c r="E88">
        <v>0.22589999999999999</v>
      </c>
      <c r="F88">
        <v>2.7000000000000001E-3</v>
      </c>
      <c r="G88">
        <v>9.7999999999999997E-3</v>
      </c>
      <c r="H88">
        <v>725</v>
      </c>
      <c r="I88">
        <v>0.18149999999999999</v>
      </c>
      <c r="J88">
        <v>0.1759</v>
      </c>
      <c r="K88">
        <v>1.0318000000000001</v>
      </c>
      <c r="L88" s="26">
        <v>4.2E-10</v>
      </c>
      <c r="M88" s="26">
        <v>4.4199999999999997E-14</v>
      </c>
      <c r="N88" s="26">
        <v>9.2299999999999994E-11</v>
      </c>
      <c r="O88" s="26">
        <v>7.7599999999999992E-12</v>
      </c>
      <c r="P88" s="26">
        <v>1.0099999999999999E-14</v>
      </c>
      <c r="Q88" s="26">
        <v>1.57E-12</v>
      </c>
    </row>
    <row r="89" spans="1:17" x14ac:dyDescent="0.3">
      <c r="A89" t="s">
        <v>133</v>
      </c>
      <c r="B89">
        <v>78.091499999999996</v>
      </c>
      <c r="C89">
        <v>20.727699999999999</v>
      </c>
      <c r="D89">
        <v>0.93899999999999995</v>
      </c>
      <c r="E89">
        <v>0.22939999999999999</v>
      </c>
      <c r="F89">
        <v>3.0000000000000001E-3</v>
      </c>
      <c r="G89">
        <v>9.2999999999999992E-3</v>
      </c>
      <c r="H89">
        <v>740</v>
      </c>
      <c r="I89">
        <v>0.18529999999999999</v>
      </c>
      <c r="J89">
        <v>0.1905</v>
      </c>
      <c r="K89">
        <v>0.97260000000000002</v>
      </c>
      <c r="L89" s="26">
        <v>4.2E-10</v>
      </c>
      <c r="M89" s="26">
        <v>4.2500000000000002E-14</v>
      </c>
      <c r="N89" s="26">
        <v>9.2299999999999994E-11</v>
      </c>
      <c r="O89" s="26">
        <v>7.7599999999999992E-12</v>
      </c>
      <c r="P89" s="26">
        <v>1.06E-14</v>
      </c>
      <c r="Q89" s="26">
        <v>1.6E-12</v>
      </c>
    </row>
    <row r="90" spans="1:17" x14ac:dyDescent="0.3">
      <c r="A90" t="s">
        <v>134</v>
      </c>
      <c r="B90">
        <v>78.095600000000005</v>
      </c>
      <c r="C90">
        <v>20.669799999999999</v>
      </c>
      <c r="D90">
        <v>0.93940000000000001</v>
      </c>
      <c r="E90">
        <v>0.28299999999999997</v>
      </c>
      <c r="F90">
        <v>2.3999999999999998E-3</v>
      </c>
      <c r="G90">
        <v>9.9000000000000008E-3</v>
      </c>
      <c r="H90">
        <v>742</v>
      </c>
      <c r="I90">
        <v>0.2384</v>
      </c>
      <c r="J90">
        <v>0.24529999999999999</v>
      </c>
      <c r="K90">
        <v>0.9718</v>
      </c>
      <c r="L90" s="26">
        <v>4.2E-10</v>
      </c>
      <c r="M90" s="26">
        <v>4.45E-14</v>
      </c>
      <c r="N90" s="26">
        <v>9.2000000000000005E-11</v>
      </c>
      <c r="O90" s="26">
        <v>7.7699999999999994E-12</v>
      </c>
      <c r="P90" s="26">
        <v>9.4400000000000004E-15</v>
      </c>
      <c r="Q90" s="26">
        <v>1.9699999999999999E-12</v>
      </c>
    </row>
    <row r="91" spans="1:17" x14ac:dyDescent="0.3">
      <c r="A91" t="s">
        <v>135</v>
      </c>
      <c r="B91">
        <v>78.070700000000002</v>
      </c>
      <c r="C91">
        <v>20.672699999999999</v>
      </c>
      <c r="D91">
        <v>0.93910000000000005</v>
      </c>
      <c r="E91">
        <v>0.30470000000000003</v>
      </c>
      <c r="F91">
        <v>2.5999999999999999E-3</v>
      </c>
      <c r="G91">
        <v>1.01E-2</v>
      </c>
      <c r="H91">
        <v>730</v>
      </c>
      <c r="I91">
        <v>0.26079999999999998</v>
      </c>
      <c r="J91">
        <v>0.23810000000000001</v>
      </c>
      <c r="K91">
        <v>1.0952999999999999</v>
      </c>
      <c r="L91" s="26">
        <v>4.2E-10</v>
      </c>
      <c r="M91" s="26">
        <v>4.5500000000000002E-14</v>
      </c>
      <c r="N91" s="26">
        <v>9.2099999999999997E-11</v>
      </c>
      <c r="O91" s="26">
        <v>7.7599999999999992E-12</v>
      </c>
      <c r="P91" s="26">
        <v>1.0099999999999999E-14</v>
      </c>
      <c r="Q91" s="26">
        <v>2.1199999999999999E-12</v>
      </c>
    </row>
    <row r="92" spans="1:17" x14ac:dyDescent="0.3">
      <c r="A92" t="s">
        <v>136</v>
      </c>
      <c r="B92">
        <v>78.058599999999998</v>
      </c>
      <c r="C92">
        <v>20.703499999999998</v>
      </c>
      <c r="D92">
        <v>0.93889999999999996</v>
      </c>
      <c r="E92">
        <v>0.28739999999999999</v>
      </c>
      <c r="F92">
        <v>2.5999999999999999E-3</v>
      </c>
      <c r="G92">
        <v>8.9999999999999993E-3</v>
      </c>
      <c r="H92">
        <v>740</v>
      </c>
      <c r="I92">
        <v>0.24340000000000001</v>
      </c>
      <c r="J92">
        <v>0.20399999999999999</v>
      </c>
      <c r="K92">
        <v>1.1930000000000001</v>
      </c>
      <c r="L92" s="26">
        <v>4.19E-10</v>
      </c>
      <c r="M92" s="26">
        <v>4.1000000000000002E-14</v>
      </c>
      <c r="N92" s="26">
        <v>9.2099999999999997E-11</v>
      </c>
      <c r="O92" s="26">
        <v>7.7599999999999992E-12</v>
      </c>
      <c r="P92" s="26">
        <v>9.5999999999999998E-15</v>
      </c>
      <c r="Q92" s="26">
        <v>2E-12</v>
      </c>
    </row>
    <row r="93" spans="1:17" x14ac:dyDescent="0.3">
      <c r="A93" t="s">
        <v>137</v>
      </c>
      <c r="B93">
        <v>78.0672</v>
      </c>
      <c r="C93">
        <v>20.6965</v>
      </c>
      <c r="D93">
        <v>0.93830000000000002</v>
      </c>
      <c r="E93">
        <v>0.28589999999999999</v>
      </c>
      <c r="F93">
        <v>2.2000000000000001E-3</v>
      </c>
      <c r="G93">
        <v>9.9000000000000008E-3</v>
      </c>
      <c r="H93">
        <v>726</v>
      </c>
      <c r="I93">
        <v>0.24060000000000001</v>
      </c>
      <c r="J93">
        <v>0.2127</v>
      </c>
      <c r="K93">
        <v>1.1314</v>
      </c>
      <c r="L93" s="26">
        <v>4.19E-10</v>
      </c>
      <c r="M93" s="26">
        <v>4.4600000000000001E-14</v>
      </c>
      <c r="N93" s="26">
        <v>9.2099999999999997E-11</v>
      </c>
      <c r="O93" s="26">
        <v>7.7500000000000007E-12</v>
      </c>
      <c r="P93" s="26">
        <v>9.1199999999999999E-15</v>
      </c>
      <c r="Q93" s="26">
        <v>1.9899999999999998E-12</v>
      </c>
    </row>
    <row r="94" spans="1:17" x14ac:dyDescent="0.3">
      <c r="A94" t="s">
        <v>138</v>
      </c>
      <c r="B94">
        <v>78.067899999999995</v>
      </c>
      <c r="C94">
        <v>20.684000000000001</v>
      </c>
      <c r="D94">
        <v>0.93869999999999998</v>
      </c>
      <c r="E94">
        <v>0.29599999999999999</v>
      </c>
      <c r="F94">
        <v>3.3E-3</v>
      </c>
      <c r="G94">
        <v>1.0200000000000001E-2</v>
      </c>
      <c r="H94">
        <v>733</v>
      </c>
      <c r="I94">
        <v>0.25030000000000002</v>
      </c>
      <c r="J94">
        <v>0.2283</v>
      </c>
      <c r="K94">
        <v>1.0960000000000001</v>
      </c>
      <c r="L94" s="26">
        <v>4.2E-10</v>
      </c>
      <c r="M94" s="26">
        <v>4.5600000000000003E-14</v>
      </c>
      <c r="N94" s="26">
        <v>9.2099999999999997E-11</v>
      </c>
      <c r="O94" s="26">
        <v>7.7599999999999992E-12</v>
      </c>
      <c r="P94" s="26">
        <v>1.15E-14</v>
      </c>
      <c r="Q94" s="26">
        <v>2.0600000000000001E-12</v>
      </c>
    </row>
    <row r="95" spans="1:17" x14ac:dyDescent="0.3">
      <c r="A95" t="s">
        <v>139</v>
      </c>
      <c r="B95">
        <v>78.065200000000004</v>
      </c>
      <c r="C95">
        <v>20.680800000000001</v>
      </c>
      <c r="D95">
        <v>0.93899999999999995</v>
      </c>
      <c r="E95">
        <v>0.30249999999999999</v>
      </c>
      <c r="F95">
        <v>2.3999999999999998E-3</v>
      </c>
      <c r="G95">
        <v>0.01</v>
      </c>
      <c r="H95">
        <v>722</v>
      </c>
      <c r="I95">
        <v>0.25790000000000002</v>
      </c>
      <c r="J95">
        <v>0.2296</v>
      </c>
      <c r="K95">
        <v>1.1234999999999999</v>
      </c>
      <c r="L95" s="26">
        <v>4.19E-10</v>
      </c>
      <c r="M95" s="26">
        <v>4.5099999999999998E-14</v>
      </c>
      <c r="N95" s="26">
        <v>9.2099999999999997E-11</v>
      </c>
      <c r="O95" s="26">
        <v>7.7599999999999992E-12</v>
      </c>
      <c r="P95" s="26">
        <v>9.6400000000000004E-15</v>
      </c>
      <c r="Q95" s="26">
        <v>2.0999999999999999E-12</v>
      </c>
    </row>
    <row r="96" spans="1:17" x14ac:dyDescent="0.3">
      <c r="A96" t="s">
        <v>140</v>
      </c>
      <c r="B96">
        <v>78.062899999999999</v>
      </c>
      <c r="C96">
        <v>20.677499999999998</v>
      </c>
      <c r="D96">
        <v>0.93889999999999996</v>
      </c>
      <c r="E96">
        <v>0.30790000000000001</v>
      </c>
      <c r="F96">
        <v>2.8999999999999998E-3</v>
      </c>
      <c r="G96">
        <v>0.01</v>
      </c>
      <c r="H96">
        <v>728</v>
      </c>
      <c r="I96">
        <v>0.26340000000000002</v>
      </c>
      <c r="J96">
        <v>0.23319999999999999</v>
      </c>
      <c r="K96">
        <v>1.1294999999999999</v>
      </c>
      <c r="L96" s="26">
        <v>4.19E-10</v>
      </c>
      <c r="M96" s="26">
        <v>4.4900000000000003E-14</v>
      </c>
      <c r="N96" s="26">
        <v>9.2000000000000005E-11</v>
      </c>
      <c r="O96" s="26">
        <v>7.7500000000000007E-12</v>
      </c>
      <c r="P96" s="26">
        <v>1.06E-14</v>
      </c>
      <c r="Q96" s="26">
        <v>2.1400000000000002E-12</v>
      </c>
    </row>
    <row r="97" spans="1:17" x14ac:dyDescent="0.3">
      <c r="A97" t="s">
        <v>141</v>
      </c>
      <c r="B97">
        <v>78.060199999999995</v>
      </c>
      <c r="C97">
        <v>20.6751</v>
      </c>
      <c r="D97">
        <v>0.93920000000000003</v>
      </c>
      <c r="E97">
        <v>0.31469999999999998</v>
      </c>
      <c r="F97">
        <v>1E-3</v>
      </c>
      <c r="G97">
        <v>9.7999999999999997E-3</v>
      </c>
      <c r="H97">
        <v>734</v>
      </c>
      <c r="I97">
        <v>0.27079999999999999</v>
      </c>
      <c r="J97">
        <v>0.22969999999999999</v>
      </c>
      <c r="K97">
        <v>1.179</v>
      </c>
      <c r="L97" s="26">
        <v>4.19E-10</v>
      </c>
      <c r="M97" s="26">
        <v>4.4000000000000002E-14</v>
      </c>
      <c r="N97" s="26">
        <v>9.2000000000000005E-11</v>
      </c>
      <c r="O97" s="26">
        <v>7.7599999999999992E-12</v>
      </c>
      <c r="P97" s="26">
        <v>6.3100000000000004E-15</v>
      </c>
      <c r="Q97" s="26">
        <v>2.18E-12</v>
      </c>
    </row>
    <row r="98" spans="1:17" x14ac:dyDescent="0.3">
      <c r="A98" t="s">
        <v>142</v>
      </c>
      <c r="B98">
        <v>78.064499999999995</v>
      </c>
      <c r="C98">
        <v>20.6645</v>
      </c>
      <c r="D98">
        <v>0.93879999999999997</v>
      </c>
      <c r="E98">
        <v>0.31940000000000002</v>
      </c>
      <c r="F98">
        <v>2.7000000000000001E-3</v>
      </c>
      <c r="G98">
        <v>0.01</v>
      </c>
      <c r="H98">
        <v>721</v>
      </c>
      <c r="I98">
        <v>0.27460000000000001</v>
      </c>
      <c r="J98">
        <v>0.24010000000000001</v>
      </c>
      <c r="K98">
        <v>1.1436999999999999</v>
      </c>
      <c r="L98" s="26">
        <v>4.19E-10</v>
      </c>
      <c r="M98" s="26">
        <v>4.4999999999999998E-14</v>
      </c>
      <c r="N98" s="26">
        <v>9.1900000000000001E-11</v>
      </c>
      <c r="O98" s="26">
        <v>7.7500000000000007E-12</v>
      </c>
      <c r="P98" s="26">
        <v>1.0299999999999999E-14</v>
      </c>
      <c r="Q98" s="26">
        <v>2.2199999999999998E-12</v>
      </c>
    </row>
    <row r="99" spans="1:17" x14ac:dyDescent="0.3">
      <c r="A99" t="s">
        <v>143</v>
      </c>
      <c r="B99">
        <v>78.066100000000006</v>
      </c>
      <c r="C99">
        <v>20.6555</v>
      </c>
      <c r="D99">
        <v>0.93889999999999996</v>
      </c>
      <c r="E99">
        <v>0.32669999999999999</v>
      </c>
      <c r="F99">
        <v>2.7000000000000001E-3</v>
      </c>
      <c r="G99">
        <v>1.01E-2</v>
      </c>
      <c r="H99">
        <v>727</v>
      </c>
      <c r="I99">
        <v>0.28170000000000001</v>
      </c>
      <c r="J99">
        <v>0.25580000000000003</v>
      </c>
      <c r="K99">
        <v>1.1013999999999999</v>
      </c>
      <c r="L99" s="26">
        <v>4.19E-10</v>
      </c>
      <c r="M99" s="26">
        <v>4.53E-14</v>
      </c>
      <c r="N99" s="26">
        <v>9.1900000000000001E-11</v>
      </c>
      <c r="O99" s="26">
        <v>7.7599999999999992E-12</v>
      </c>
      <c r="P99" s="26">
        <v>1.0299999999999999E-14</v>
      </c>
      <c r="Q99" s="26">
        <v>2.2699999999999998E-12</v>
      </c>
    </row>
    <row r="100" spans="1:17" x14ac:dyDescent="0.3">
      <c r="A100" t="s">
        <v>144</v>
      </c>
      <c r="B100">
        <v>78.069699999999997</v>
      </c>
      <c r="C100">
        <v>20.646100000000001</v>
      </c>
      <c r="D100">
        <v>0.93879999999999997</v>
      </c>
      <c r="E100">
        <v>0.33289999999999997</v>
      </c>
      <c r="F100">
        <v>2.0999999999999999E-3</v>
      </c>
      <c r="G100">
        <v>1.03E-2</v>
      </c>
      <c r="H100">
        <v>734</v>
      </c>
      <c r="I100">
        <v>0.28849999999999998</v>
      </c>
      <c r="J100">
        <v>0.26350000000000001</v>
      </c>
      <c r="K100">
        <v>1.0952</v>
      </c>
      <c r="L100" s="26">
        <v>4.19E-10</v>
      </c>
      <c r="M100" s="26">
        <v>4.6200000000000001E-14</v>
      </c>
      <c r="N100" s="26">
        <v>9.1900000000000001E-11</v>
      </c>
      <c r="O100" s="26">
        <v>7.7500000000000007E-12</v>
      </c>
      <c r="P100" s="26">
        <v>8.91E-15</v>
      </c>
      <c r="Q100" s="26">
        <v>2.3100000000000001E-12</v>
      </c>
    </row>
    <row r="101" spans="1:17" x14ac:dyDescent="0.3">
      <c r="A101" t="s">
        <v>145</v>
      </c>
      <c r="B101">
        <v>78.063599999999994</v>
      </c>
      <c r="C101">
        <v>20.645099999999999</v>
      </c>
      <c r="D101">
        <v>0.93859999999999999</v>
      </c>
      <c r="E101">
        <v>0.33979999999999999</v>
      </c>
      <c r="F101">
        <v>2.7000000000000001E-3</v>
      </c>
      <c r="G101">
        <v>1.0200000000000001E-2</v>
      </c>
      <c r="H101">
        <v>720</v>
      </c>
      <c r="I101">
        <v>0.2954</v>
      </c>
      <c r="J101">
        <v>0.26179999999999998</v>
      </c>
      <c r="K101">
        <v>1.1281000000000001</v>
      </c>
      <c r="L101" s="26">
        <v>4.19E-10</v>
      </c>
      <c r="M101" s="26">
        <v>4.5500000000000002E-14</v>
      </c>
      <c r="N101" s="26">
        <v>9.1799999999999996E-11</v>
      </c>
      <c r="O101" s="26">
        <v>7.7500000000000007E-12</v>
      </c>
      <c r="P101" s="26">
        <v>1.0299999999999999E-14</v>
      </c>
      <c r="Q101" s="26">
        <v>2.36E-12</v>
      </c>
    </row>
    <row r="102" spans="1:17" x14ac:dyDescent="0.3">
      <c r="A102" t="s">
        <v>146</v>
      </c>
      <c r="B102">
        <v>78.065299999999993</v>
      </c>
      <c r="C102">
        <v>20.636399999999998</v>
      </c>
      <c r="D102">
        <v>0.93830000000000002</v>
      </c>
      <c r="E102">
        <v>0.34699999999999998</v>
      </c>
      <c r="F102">
        <v>3.2000000000000002E-3</v>
      </c>
      <c r="G102">
        <v>9.7000000000000003E-3</v>
      </c>
      <c r="H102">
        <v>726</v>
      </c>
      <c r="I102">
        <v>0.3024</v>
      </c>
      <c r="J102">
        <v>0.26029999999999998</v>
      </c>
      <c r="K102">
        <v>1.1619999999999999</v>
      </c>
      <c r="L102" s="26">
        <v>4.19E-10</v>
      </c>
      <c r="M102" s="26">
        <v>4.3900000000000001E-14</v>
      </c>
      <c r="N102" s="26">
        <v>9.1799999999999996E-11</v>
      </c>
      <c r="O102" s="26">
        <v>7.7500000000000007E-12</v>
      </c>
      <c r="P102" s="26">
        <v>1.1200000000000001E-14</v>
      </c>
      <c r="Q102" s="26">
        <v>2.41E-12</v>
      </c>
    </row>
    <row r="103" spans="1:17" x14ac:dyDescent="0.3">
      <c r="A103" t="s">
        <v>147</v>
      </c>
      <c r="B103">
        <v>78.067899999999995</v>
      </c>
      <c r="C103">
        <v>20.6265</v>
      </c>
      <c r="D103">
        <v>0.93889999999999996</v>
      </c>
      <c r="E103">
        <v>0.35349999999999998</v>
      </c>
      <c r="F103">
        <v>3.7000000000000002E-3</v>
      </c>
      <c r="G103">
        <v>9.4999999999999998E-3</v>
      </c>
      <c r="H103">
        <v>718</v>
      </c>
      <c r="I103">
        <v>0.30930000000000002</v>
      </c>
      <c r="J103">
        <v>0.28079999999999999</v>
      </c>
      <c r="K103">
        <v>1.1015999999999999</v>
      </c>
      <c r="L103" s="26">
        <v>4.19E-10</v>
      </c>
      <c r="M103" s="26">
        <v>4.3E-14</v>
      </c>
      <c r="N103" s="26">
        <v>9.1799999999999996E-11</v>
      </c>
      <c r="O103" s="26">
        <v>7.7599999999999992E-12</v>
      </c>
      <c r="P103" s="26">
        <v>1.2199999999999999E-14</v>
      </c>
      <c r="Q103" s="26">
        <v>2.4499999999999999E-12</v>
      </c>
    </row>
    <row r="104" spans="1:17" x14ac:dyDescent="0.3">
      <c r="A104" t="s">
        <v>148</v>
      </c>
      <c r="B104">
        <v>78.065100000000001</v>
      </c>
      <c r="C104">
        <v>20.622699999999998</v>
      </c>
      <c r="D104">
        <v>0.93869999999999998</v>
      </c>
      <c r="E104">
        <v>0.3614</v>
      </c>
      <c r="F104">
        <v>2.8E-3</v>
      </c>
      <c r="G104">
        <v>9.4000000000000004E-3</v>
      </c>
      <c r="H104">
        <v>719</v>
      </c>
      <c r="I104">
        <v>0.317</v>
      </c>
      <c r="J104">
        <v>0.28520000000000001</v>
      </c>
      <c r="K104">
        <v>1.1116999999999999</v>
      </c>
      <c r="L104" s="26">
        <v>4.19E-10</v>
      </c>
      <c r="M104" s="26">
        <v>4.2799999999999998E-14</v>
      </c>
      <c r="N104" s="26">
        <v>9.1799999999999996E-11</v>
      </c>
      <c r="O104" s="26">
        <v>7.7500000000000007E-12</v>
      </c>
      <c r="P104" s="26">
        <v>1.0299999999999999E-14</v>
      </c>
      <c r="Q104" s="26">
        <v>2.51E-12</v>
      </c>
    </row>
    <row r="105" spans="1:17" x14ac:dyDescent="0.3">
      <c r="A105" t="s">
        <v>149</v>
      </c>
      <c r="B105">
        <v>78.073599999999999</v>
      </c>
      <c r="C105">
        <v>20.606300000000001</v>
      </c>
      <c r="D105">
        <v>0.93889999999999996</v>
      </c>
      <c r="E105">
        <v>0.36909999999999998</v>
      </c>
      <c r="F105">
        <v>2.2000000000000001E-3</v>
      </c>
      <c r="G105">
        <v>9.9000000000000008E-3</v>
      </c>
      <c r="H105">
        <v>725</v>
      </c>
      <c r="I105">
        <v>0.32400000000000001</v>
      </c>
      <c r="J105">
        <v>0.30709999999999998</v>
      </c>
      <c r="K105">
        <v>1.0550999999999999</v>
      </c>
      <c r="L105" s="26">
        <v>4.19E-10</v>
      </c>
      <c r="M105" s="26">
        <v>4.4600000000000001E-14</v>
      </c>
      <c r="N105" s="26">
        <v>9.1700000000000004E-11</v>
      </c>
      <c r="O105" s="26">
        <v>7.7599999999999992E-12</v>
      </c>
      <c r="P105" s="26">
        <v>9.2200000000000007E-15</v>
      </c>
      <c r="Q105" s="26">
        <v>2.56E-12</v>
      </c>
    </row>
    <row r="106" spans="1:17" x14ac:dyDescent="0.3">
      <c r="A106" t="s">
        <v>150</v>
      </c>
      <c r="B106">
        <v>78.061599999999999</v>
      </c>
      <c r="C106">
        <v>20.610399999999998</v>
      </c>
      <c r="D106">
        <v>0.93869999999999998</v>
      </c>
      <c r="E106">
        <v>0.37630000000000002</v>
      </c>
      <c r="F106">
        <v>3.3E-3</v>
      </c>
      <c r="G106">
        <v>9.7000000000000003E-3</v>
      </c>
      <c r="H106">
        <v>738</v>
      </c>
      <c r="I106">
        <v>0.33150000000000002</v>
      </c>
      <c r="J106">
        <v>0.29680000000000001</v>
      </c>
      <c r="K106">
        <v>1.1169</v>
      </c>
      <c r="L106" s="26">
        <v>4.19E-10</v>
      </c>
      <c r="M106" s="26">
        <v>4.4000000000000002E-14</v>
      </c>
      <c r="N106" s="26">
        <v>9.1799999999999996E-11</v>
      </c>
      <c r="O106" s="26">
        <v>7.7599999999999992E-12</v>
      </c>
      <c r="P106" s="26">
        <v>1.15E-14</v>
      </c>
      <c r="Q106" s="26">
        <v>2.61E-12</v>
      </c>
    </row>
    <row r="107" spans="1:17" x14ac:dyDescent="0.3">
      <c r="A107" t="s">
        <v>151</v>
      </c>
      <c r="B107">
        <v>78.071200000000005</v>
      </c>
      <c r="C107">
        <v>20.593499999999999</v>
      </c>
      <c r="D107">
        <v>0.93869999999999998</v>
      </c>
      <c r="E107">
        <v>0.38390000000000002</v>
      </c>
      <c r="F107">
        <v>2.8999999999999998E-3</v>
      </c>
      <c r="G107">
        <v>9.7999999999999997E-3</v>
      </c>
      <c r="H107">
        <v>723</v>
      </c>
      <c r="I107">
        <v>0.33950000000000002</v>
      </c>
      <c r="J107">
        <v>0.32079999999999997</v>
      </c>
      <c r="K107">
        <v>1.0585</v>
      </c>
      <c r="L107" s="26">
        <v>4.2E-10</v>
      </c>
      <c r="M107" s="26">
        <v>4.4299999999999998E-14</v>
      </c>
      <c r="N107" s="26">
        <v>9.1700000000000004E-11</v>
      </c>
      <c r="O107" s="26">
        <v>7.7599999999999992E-12</v>
      </c>
      <c r="P107" s="26">
        <v>1.07E-14</v>
      </c>
      <c r="Q107" s="26">
        <v>2.66E-12</v>
      </c>
    </row>
    <row r="108" spans="1:17" x14ac:dyDescent="0.3">
      <c r="A108" t="s">
        <v>152</v>
      </c>
      <c r="B108">
        <v>78.070599999999999</v>
      </c>
      <c r="C108">
        <v>20.587599999999998</v>
      </c>
      <c r="D108">
        <v>0.93879999999999997</v>
      </c>
      <c r="E108">
        <v>0.39119999999999999</v>
      </c>
      <c r="F108">
        <v>2.0999999999999999E-3</v>
      </c>
      <c r="G108">
        <v>9.5999999999999992E-3</v>
      </c>
      <c r="H108">
        <v>728</v>
      </c>
      <c r="I108">
        <v>0.34649999999999997</v>
      </c>
      <c r="J108">
        <v>0.32350000000000001</v>
      </c>
      <c r="K108">
        <v>1.0711999999999999</v>
      </c>
      <c r="L108" s="26">
        <v>4.2E-10</v>
      </c>
      <c r="M108" s="26">
        <v>4.3599999999999998E-14</v>
      </c>
      <c r="N108" s="26">
        <v>9.1700000000000004E-11</v>
      </c>
      <c r="O108" s="26">
        <v>7.7699999999999994E-12</v>
      </c>
      <c r="P108" s="26">
        <v>8.8599999999999996E-15</v>
      </c>
      <c r="Q108" s="26">
        <v>2.71E-12</v>
      </c>
    </row>
    <row r="109" spans="1:17" x14ac:dyDescent="0.3">
      <c r="A109" t="s">
        <v>153</v>
      </c>
      <c r="B109">
        <v>78.064999999999998</v>
      </c>
      <c r="C109">
        <v>20.585000000000001</v>
      </c>
      <c r="D109">
        <v>0.93920000000000003</v>
      </c>
      <c r="E109">
        <v>0.39800000000000002</v>
      </c>
      <c r="F109">
        <v>2.5000000000000001E-3</v>
      </c>
      <c r="G109">
        <v>1.03E-2</v>
      </c>
      <c r="H109">
        <v>720</v>
      </c>
      <c r="I109">
        <v>0.3528</v>
      </c>
      <c r="J109">
        <v>0.32050000000000001</v>
      </c>
      <c r="K109">
        <v>1.101</v>
      </c>
      <c r="L109" s="26">
        <v>4.2E-10</v>
      </c>
      <c r="M109" s="26">
        <v>4.6200000000000001E-14</v>
      </c>
      <c r="N109" s="26">
        <v>9.1700000000000004E-11</v>
      </c>
      <c r="O109" s="26">
        <v>7.7699999999999994E-12</v>
      </c>
      <c r="P109" s="26">
        <v>9.8699999999999998E-15</v>
      </c>
      <c r="Q109" s="26">
        <v>2.76E-12</v>
      </c>
    </row>
    <row r="110" spans="1:17" x14ac:dyDescent="0.3">
      <c r="A110" t="s">
        <v>154</v>
      </c>
      <c r="B110">
        <v>78.069100000000006</v>
      </c>
      <c r="C110">
        <v>20.574400000000001</v>
      </c>
      <c r="D110">
        <v>0.93889999999999996</v>
      </c>
      <c r="E110">
        <v>0.40600000000000003</v>
      </c>
      <c r="F110">
        <v>1.9E-3</v>
      </c>
      <c r="G110">
        <v>9.7999999999999997E-3</v>
      </c>
      <c r="H110">
        <v>720</v>
      </c>
      <c r="I110">
        <v>0.36220000000000002</v>
      </c>
      <c r="J110">
        <v>0.3322</v>
      </c>
      <c r="K110">
        <v>1.0904</v>
      </c>
      <c r="L110" s="26">
        <v>4.2E-10</v>
      </c>
      <c r="M110" s="26">
        <v>4.4000000000000002E-14</v>
      </c>
      <c r="N110" s="26">
        <v>9.1599999999999999E-11</v>
      </c>
      <c r="O110" s="26">
        <v>7.7599999999999992E-12</v>
      </c>
      <c r="P110" s="26">
        <v>8.3699999999999999E-15</v>
      </c>
      <c r="Q110" s="26">
        <v>2.8099999999999999E-12</v>
      </c>
    </row>
    <row r="111" spans="1:17" x14ac:dyDescent="0.3">
      <c r="A111" t="s">
        <v>155</v>
      </c>
      <c r="B111">
        <v>78.070300000000003</v>
      </c>
      <c r="C111">
        <v>20.565300000000001</v>
      </c>
      <c r="D111">
        <v>0.93859999999999999</v>
      </c>
      <c r="E111">
        <v>0.41299999999999998</v>
      </c>
      <c r="F111">
        <v>2.8E-3</v>
      </c>
      <c r="G111">
        <v>9.9000000000000008E-3</v>
      </c>
      <c r="H111">
        <v>715</v>
      </c>
      <c r="I111">
        <v>0.36959999999999998</v>
      </c>
      <c r="J111">
        <v>0.34539999999999998</v>
      </c>
      <c r="K111">
        <v>1.0701000000000001</v>
      </c>
      <c r="L111" s="26">
        <v>4.2E-10</v>
      </c>
      <c r="M111" s="26">
        <v>4.4600000000000001E-14</v>
      </c>
      <c r="N111" s="26">
        <v>9.1599999999999999E-11</v>
      </c>
      <c r="O111" s="26">
        <v>7.7599999999999992E-12</v>
      </c>
      <c r="P111" s="26">
        <v>1.06E-14</v>
      </c>
      <c r="Q111" s="26">
        <v>2.8599999999999999E-12</v>
      </c>
    </row>
    <row r="112" spans="1:17" x14ac:dyDescent="0.3">
      <c r="A112" t="s">
        <v>156</v>
      </c>
      <c r="B112">
        <v>78.069900000000004</v>
      </c>
      <c r="C112">
        <v>20.5564</v>
      </c>
      <c r="D112">
        <v>0.93869999999999998</v>
      </c>
      <c r="E112">
        <v>0.42270000000000002</v>
      </c>
      <c r="F112">
        <v>2.7000000000000001E-3</v>
      </c>
      <c r="G112">
        <v>9.5999999999999992E-3</v>
      </c>
      <c r="H112">
        <v>718</v>
      </c>
      <c r="I112">
        <v>0.37809999999999999</v>
      </c>
      <c r="J112">
        <v>0.3518</v>
      </c>
      <c r="K112">
        <v>1.0749</v>
      </c>
      <c r="L112" s="26">
        <v>4.2E-10</v>
      </c>
      <c r="M112" s="26">
        <v>4.3599999999999998E-14</v>
      </c>
      <c r="N112" s="26">
        <v>9.1499999999999994E-11</v>
      </c>
      <c r="O112" s="26">
        <v>7.7599999999999992E-12</v>
      </c>
      <c r="P112" s="26">
        <v>1.0099999999999999E-14</v>
      </c>
      <c r="Q112" s="26">
        <v>2.9299999999999998E-12</v>
      </c>
    </row>
    <row r="113" spans="1:17" x14ac:dyDescent="0.3">
      <c r="A113" t="s">
        <v>157</v>
      </c>
      <c r="B113">
        <v>78.070400000000006</v>
      </c>
      <c r="C113">
        <v>20.548300000000001</v>
      </c>
      <c r="D113">
        <v>0.93930000000000002</v>
      </c>
      <c r="E113">
        <v>0.42870000000000003</v>
      </c>
      <c r="F113">
        <v>3.5000000000000001E-3</v>
      </c>
      <c r="G113">
        <v>9.9000000000000008E-3</v>
      </c>
      <c r="H113">
        <v>727</v>
      </c>
      <c r="I113">
        <v>0.38440000000000002</v>
      </c>
      <c r="J113">
        <v>0.35909999999999997</v>
      </c>
      <c r="K113">
        <v>1.0702</v>
      </c>
      <c r="L113" s="26">
        <v>4.2E-10</v>
      </c>
      <c r="M113" s="26">
        <v>4.45E-14</v>
      </c>
      <c r="N113" s="26">
        <v>9.1499999999999994E-11</v>
      </c>
      <c r="O113" s="26">
        <v>7.7699999999999994E-12</v>
      </c>
      <c r="P113" s="26">
        <v>1.19E-14</v>
      </c>
      <c r="Q113" s="26">
        <v>2.9700000000000001E-12</v>
      </c>
    </row>
    <row r="114" spans="1:17" x14ac:dyDescent="0.3">
      <c r="A114" t="s">
        <v>158</v>
      </c>
      <c r="B114">
        <v>78.0715</v>
      </c>
      <c r="C114">
        <v>20.5413</v>
      </c>
      <c r="D114">
        <v>0.93910000000000005</v>
      </c>
      <c r="E114">
        <v>0.43609999999999999</v>
      </c>
      <c r="F114">
        <v>3.0000000000000001E-3</v>
      </c>
      <c r="G114">
        <v>8.8999999999999999E-3</v>
      </c>
      <c r="H114">
        <v>732</v>
      </c>
      <c r="I114">
        <v>0.39140000000000003</v>
      </c>
      <c r="J114">
        <v>0.37090000000000001</v>
      </c>
      <c r="K114">
        <v>1.0552999999999999</v>
      </c>
      <c r="L114" s="26">
        <v>4.19E-10</v>
      </c>
      <c r="M114" s="26">
        <v>4.08E-14</v>
      </c>
      <c r="N114" s="26">
        <v>9.1499999999999994E-11</v>
      </c>
      <c r="O114" s="26">
        <v>7.7599999999999992E-12</v>
      </c>
      <c r="P114" s="26">
        <v>1.07E-14</v>
      </c>
      <c r="Q114" s="26">
        <v>3.0200000000000001E-12</v>
      </c>
    </row>
    <row r="115" spans="1:17" x14ac:dyDescent="0.3">
      <c r="A115" t="s">
        <v>159</v>
      </c>
      <c r="B115">
        <v>78.078599999999994</v>
      </c>
      <c r="C115">
        <v>20.5291</v>
      </c>
      <c r="D115">
        <v>0.93959999999999999</v>
      </c>
      <c r="E115">
        <v>0.43919999999999998</v>
      </c>
      <c r="F115">
        <v>3.5999999999999999E-3</v>
      </c>
      <c r="G115">
        <v>9.9000000000000008E-3</v>
      </c>
      <c r="H115">
        <v>722</v>
      </c>
      <c r="I115">
        <v>0.39479999999999998</v>
      </c>
      <c r="J115">
        <v>0.37769999999999998</v>
      </c>
      <c r="K115">
        <v>1.0454000000000001</v>
      </c>
      <c r="L115" s="26">
        <v>4.19E-10</v>
      </c>
      <c r="M115" s="26">
        <v>4.4399999999999999E-14</v>
      </c>
      <c r="N115" s="26">
        <v>9.1400000000000002E-11</v>
      </c>
      <c r="O115" s="26">
        <v>7.7699999999999994E-12</v>
      </c>
      <c r="P115" s="26">
        <v>1.23E-14</v>
      </c>
      <c r="Q115" s="26">
        <v>3.0500000000000001E-12</v>
      </c>
    </row>
    <row r="116" spans="1:17" x14ac:dyDescent="0.3">
      <c r="A116" t="s">
        <v>160</v>
      </c>
      <c r="B116">
        <v>78.085400000000007</v>
      </c>
      <c r="C116">
        <v>20.517299999999999</v>
      </c>
      <c r="D116">
        <v>0.93889999999999996</v>
      </c>
      <c r="E116">
        <v>0.44569999999999999</v>
      </c>
      <c r="F116">
        <v>3.0000000000000001E-3</v>
      </c>
      <c r="G116">
        <v>9.7000000000000003E-3</v>
      </c>
      <c r="H116">
        <v>729</v>
      </c>
      <c r="I116">
        <v>0.40129999999999999</v>
      </c>
      <c r="J116">
        <v>0.39600000000000002</v>
      </c>
      <c r="K116">
        <v>1.0136000000000001</v>
      </c>
      <c r="L116" s="26">
        <v>4.19E-10</v>
      </c>
      <c r="M116" s="26">
        <v>4.3599999999999998E-14</v>
      </c>
      <c r="N116" s="26">
        <v>9.1299999999999997E-11</v>
      </c>
      <c r="O116" s="26">
        <v>7.7599999999999992E-12</v>
      </c>
      <c r="P116" s="26">
        <v>1.08E-14</v>
      </c>
      <c r="Q116" s="26">
        <v>3.09E-12</v>
      </c>
    </row>
    <row r="117" spans="1:17" x14ac:dyDescent="0.3">
      <c r="A117" t="s">
        <v>161</v>
      </c>
      <c r="B117">
        <v>78.084299999999999</v>
      </c>
      <c r="C117">
        <v>20.510200000000001</v>
      </c>
      <c r="D117">
        <v>0.93969999999999998</v>
      </c>
      <c r="E117">
        <v>0.4536</v>
      </c>
      <c r="F117">
        <v>2.7000000000000001E-3</v>
      </c>
      <c r="G117">
        <v>9.4000000000000004E-3</v>
      </c>
      <c r="H117">
        <v>717</v>
      </c>
      <c r="I117">
        <v>0.40899999999999997</v>
      </c>
      <c r="J117">
        <v>0.4032</v>
      </c>
      <c r="K117">
        <v>1.0143</v>
      </c>
      <c r="L117" s="26">
        <v>4.2E-10</v>
      </c>
      <c r="M117" s="26">
        <v>4.2799999999999998E-14</v>
      </c>
      <c r="N117" s="26">
        <v>9.1299999999999997E-11</v>
      </c>
      <c r="O117" s="26">
        <v>7.7699999999999994E-12</v>
      </c>
      <c r="P117" s="26">
        <v>1.02E-14</v>
      </c>
      <c r="Q117" s="26">
        <v>3.1399999999999999E-12</v>
      </c>
    </row>
    <row r="118" spans="1:17" x14ac:dyDescent="0.3">
      <c r="A118" t="s">
        <v>162</v>
      </c>
      <c r="B118">
        <v>78.081699999999998</v>
      </c>
      <c r="C118">
        <v>20.500299999999999</v>
      </c>
      <c r="D118">
        <v>0.93879999999999997</v>
      </c>
      <c r="E118">
        <v>0.46600000000000003</v>
      </c>
      <c r="F118">
        <v>3.3999999999999998E-3</v>
      </c>
      <c r="G118">
        <v>9.7999999999999997E-3</v>
      </c>
      <c r="H118">
        <v>716</v>
      </c>
      <c r="I118">
        <v>0.42099999999999999</v>
      </c>
      <c r="J118">
        <v>0.41070000000000001</v>
      </c>
      <c r="K118">
        <v>1.0251999999999999</v>
      </c>
      <c r="L118" s="26">
        <v>4.19E-10</v>
      </c>
      <c r="M118" s="26">
        <v>4.4199999999999997E-14</v>
      </c>
      <c r="N118" s="26">
        <v>9.1299999999999997E-11</v>
      </c>
      <c r="O118" s="26">
        <v>7.7599999999999992E-12</v>
      </c>
      <c r="P118" s="26">
        <v>1.1799999999999999E-14</v>
      </c>
      <c r="Q118" s="26">
        <v>3.2300000000000002E-12</v>
      </c>
    </row>
    <row r="119" spans="1:17" x14ac:dyDescent="0.3">
      <c r="A119" t="s">
        <v>163</v>
      </c>
      <c r="B119">
        <v>78.084400000000002</v>
      </c>
      <c r="C119">
        <v>20.486599999999999</v>
      </c>
      <c r="D119">
        <v>0.9385</v>
      </c>
      <c r="E119">
        <v>0.47849999999999998</v>
      </c>
      <c r="F119">
        <v>2.5999999999999999E-3</v>
      </c>
      <c r="G119">
        <v>9.2999999999999992E-3</v>
      </c>
      <c r="H119">
        <v>725</v>
      </c>
      <c r="I119">
        <v>0.43409999999999999</v>
      </c>
      <c r="J119">
        <v>0.43059999999999998</v>
      </c>
      <c r="K119">
        <v>1.0082</v>
      </c>
      <c r="L119" s="26">
        <v>4.2E-10</v>
      </c>
      <c r="M119" s="26">
        <v>4.23E-14</v>
      </c>
      <c r="N119" s="26">
        <v>9.1200000000000006E-11</v>
      </c>
      <c r="O119" s="26">
        <v>7.7599999999999992E-12</v>
      </c>
      <c r="P119" s="26">
        <v>9.9499999999999996E-15</v>
      </c>
      <c r="Q119" s="26">
        <v>3.3099999999999998E-12</v>
      </c>
    </row>
    <row r="120" spans="1:17" x14ac:dyDescent="0.3">
      <c r="A120" t="s">
        <v>164</v>
      </c>
      <c r="B120">
        <v>78.077799999999996</v>
      </c>
      <c r="C120">
        <v>20.479099999999999</v>
      </c>
      <c r="D120">
        <v>0.93840000000000001</v>
      </c>
      <c r="E120">
        <v>0.49209999999999998</v>
      </c>
      <c r="F120">
        <v>2.7000000000000001E-3</v>
      </c>
      <c r="G120">
        <v>9.7999999999999997E-3</v>
      </c>
      <c r="H120">
        <v>734</v>
      </c>
      <c r="I120">
        <v>0.44750000000000001</v>
      </c>
      <c r="J120">
        <v>0.4355</v>
      </c>
      <c r="K120">
        <v>1.0275000000000001</v>
      </c>
      <c r="L120" s="26">
        <v>4.19E-10</v>
      </c>
      <c r="M120" s="26">
        <v>4.4000000000000002E-14</v>
      </c>
      <c r="N120" s="26">
        <v>9.1100000000000001E-11</v>
      </c>
      <c r="O120" s="26">
        <v>7.7500000000000007E-12</v>
      </c>
      <c r="P120" s="26">
        <v>1.04E-14</v>
      </c>
      <c r="Q120" s="26">
        <v>3.4000000000000001E-12</v>
      </c>
    </row>
    <row r="121" spans="1:17" x14ac:dyDescent="0.3">
      <c r="A121" t="s">
        <v>165</v>
      </c>
      <c r="B121">
        <v>78.079400000000007</v>
      </c>
      <c r="C121">
        <v>20.462700000000002</v>
      </c>
      <c r="D121">
        <v>0.93840000000000001</v>
      </c>
      <c r="E121">
        <v>0.50639999999999996</v>
      </c>
      <c r="F121">
        <v>3.3999999999999998E-3</v>
      </c>
      <c r="G121">
        <v>9.7999999999999997E-3</v>
      </c>
      <c r="H121">
        <v>721</v>
      </c>
      <c r="I121">
        <v>0.46129999999999999</v>
      </c>
      <c r="J121">
        <v>0.45379999999999998</v>
      </c>
      <c r="K121">
        <v>1.0165</v>
      </c>
      <c r="L121" s="26">
        <v>4.19E-10</v>
      </c>
      <c r="M121" s="26">
        <v>4.4100000000000003E-14</v>
      </c>
      <c r="N121" s="26">
        <v>9.1100000000000001E-11</v>
      </c>
      <c r="O121" s="26">
        <v>7.7500000000000007E-12</v>
      </c>
      <c r="P121" s="26">
        <v>1.1799999999999999E-14</v>
      </c>
      <c r="Q121" s="26">
        <v>3.5100000000000002E-12</v>
      </c>
    </row>
    <row r="122" spans="1:17" x14ac:dyDescent="0.3">
      <c r="A122" t="s">
        <v>166</v>
      </c>
      <c r="B122">
        <v>78.075199999999995</v>
      </c>
      <c r="C122">
        <v>20.453199999999999</v>
      </c>
      <c r="D122">
        <v>0.9385</v>
      </c>
      <c r="E122">
        <v>0.51990000000000003</v>
      </c>
      <c r="F122">
        <v>3.8999999999999998E-3</v>
      </c>
      <c r="G122">
        <v>9.1999999999999998E-3</v>
      </c>
      <c r="H122">
        <v>731</v>
      </c>
      <c r="I122">
        <v>0.47549999999999998</v>
      </c>
      <c r="J122">
        <v>0.45850000000000002</v>
      </c>
      <c r="K122">
        <v>1.0371999999999999</v>
      </c>
      <c r="L122" s="26">
        <v>4.19E-10</v>
      </c>
      <c r="M122" s="26">
        <v>4.1999999999999998E-14</v>
      </c>
      <c r="N122" s="26">
        <v>9.0999999999999996E-11</v>
      </c>
      <c r="O122" s="26">
        <v>7.7500000000000007E-12</v>
      </c>
      <c r="P122" s="26">
        <v>1.28E-14</v>
      </c>
      <c r="Q122" s="26">
        <v>3.6E-12</v>
      </c>
    </row>
    <row r="123" spans="1:17" x14ac:dyDescent="0.3">
      <c r="A123" t="s">
        <v>167</v>
      </c>
      <c r="B123">
        <v>78.084599999999995</v>
      </c>
      <c r="C123">
        <v>20.432099999999998</v>
      </c>
      <c r="D123">
        <v>0.93810000000000004</v>
      </c>
      <c r="E123">
        <v>0.53290000000000004</v>
      </c>
      <c r="F123">
        <v>2.5999999999999999E-3</v>
      </c>
      <c r="G123">
        <v>9.7000000000000003E-3</v>
      </c>
      <c r="H123">
        <v>747</v>
      </c>
      <c r="I123">
        <v>0.48830000000000001</v>
      </c>
      <c r="J123">
        <v>0.48170000000000002</v>
      </c>
      <c r="K123">
        <v>1.0136000000000001</v>
      </c>
      <c r="L123" s="26">
        <v>4.2099999999999999E-10</v>
      </c>
      <c r="M123" s="26">
        <v>4.38E-14</v>
      </c>
      <c r="N123" s="26">
        <v>9.1200000000000006E-11</v>
      </c>
      <c r="O123" s="26">
        <v>7.7799999999999996E-12</v>
      </c>
      <c r="P123" s="26">
        <v>9.9900000000000002E-15</v>
      </c>
      <c r="Q123" s="26">
        <v>3.7E-12</v>
      </c>
    </row>
    <row r="124" spans="1:17" x14ac:dyDescent="0.3">
      <c r="A124" t="s">
        <v>168</v>
      </c>
      <c r="B124">
        <v>78.076899999999995</v>
      </c>
      <c r="C124">
        <v>20.4328</v>
      </c>
      <c r="D124">
        <v>0.93820000000000003</v>
      </c>
      <c r="E124">
        <v>0.5403</v>
      </c>
      <c r="F124">
        <v>2.8E-3</v>
      </c>
      <c r="G124">
        <v>8.9999999999999993E-3</v>
      </c>
      <c r="H124">
        <v>733</v>
      </c>
      <c r="I124">
        <v>0.49540000000000001</v>
      </c>
      <c r="J124">
        <v>0.47670000000000001</v>
      </c>
      <c r="K124">
        <v>1.0390999999999999</v>
      </c>
      <c r="L124" s="26">
        <v>4.19E-10</v>
      </c>
      <c r="M124" s="26">
        <v>4.1000000000000002E-14</v>
      </c>
      <c r="N124" s="26">
        <v>9.0900000000000004E-11</v>
      </c>
      <c r="O124" s="26">
        <v>7.7500000000000007E-12</v>
      </c>
      <c r="P124" s="26">
        <v>1.02E-14</v>
      </c>
      <c r="Q124" s="26">
        <v>3.7399999999999998E-12</v>
      </c>
    </row>
    <row r="125" spans="1:17" x14ac:dyDescent="0.3">
      <c r="A125" t="s">
        <v>169</v>
      </c>
      <c r="B125">
        <v>78.075500000000005</v>
      </c>
      <c r="C125">
        <v>20.422999999999998</v>
      </c>
      <c r="D125">
        <v>0.93889999999999996</v>
      </c>
      <c r="E125">
        <v>0.55110000000000003</v>
      </c>
      <c r="F125">
        <v>1.9E-3</v>
      </c>
      <c r="G125">
        <v>9.7000000000000003E-3</v>
      </c>
      <c r="H125">
        <v>714</v>
      </c>
      <c r="I125">
        <v>0.50639999999999996</v>
      </c>
      <c r="J125">
        <v>0.48899999999999999</v>
      </c>
      <c r="K125">
        <v>1.0356000000000001</v>
      </c>
      <c r="L125" s="26">
        <v>4.19E-10</v>
      </c>
      <c r="M125" s="26">
        <v>4.3499999999999998E-14</v>
      </c>
      <c r="N125" s="26">
        <v>9.0900000000000004E-11</v>
      </c>
      <c r="O125" s="26">
        <v>7.7500000000000007E-12</v>
      </c>
      <c r="P125" s="26">
        <v>8.5799999999999998E-15</v>
      </c>
      <c r="Q125" s="26">
        <v>3.8100000000000001E-12</v>
      </c>
    </row>
    <row r="126" spans="1:17" x14ac:dyDescent="0.3">
      <c r="A126" t="s">
        <v>170</v>
      </c>
      <c r="B126">
        <v>78.078100000000006</v>
      </c>
      <c r="C126">
        <v>20.4071</v>
      </c>
      <c r="D126">
        <v>0.93869999999999998</v>
      </c>
      <c r="E126">
        <v>0.56459999999999999</v>
      </c>
      <c r="F126">
        <v>2.3E-3</v>
      </c>
      <c r="G126">
        <v>9.1999999999999998E-3</v>
      </c>
      <c r="H126">
        <v>719</v>
      </c>
      <c r="I126">
        <v>0.52</v>
      </c>
      <c r="J126">
        <v>0.504</v>
      </c>
      <c r="K126">
        <v>1.0317000000000001</v>
      </c>
      <c r="L126" s="26">
        <v>4.19E-10</v>
      </c>
      <c r="M126" s="26">
        <v>4.1800000000000002E-14</v>
      </c>
      <c r="N126" s="26">
        <v>9.0799999999999999E-11</v>
      </c>
      <c r="O126" s="26">
        <v>7.7500000000000007E-12</v>
      </c>
      <c r="P126" s="26">
        <v>9.1899999999999998E-15</v>
      </c>
      <c r="Q126" s="26">
        <v>3.8999999999999999E-12</v>
      </c>
    </row>
    <row r="127" spans="1:17" x14ac:dyDescent="0.3">
      <c r="A127" t="s">
        <v>171</v>
      </c>
      <c r="B127">
        <v>78.071700000000007</v>
      </c>
      <c r="C127">
        <v>20.401499999999999</v>
      </c>
      <c r="D127">
        <v>0.9385</v>
      </c>
      <c r="E127">
        <v>0.57669999999999999</v>
      </c>
      <c r="F127">
        <v>2.3E-3</v>
      </c>
      <c r="G127">
        <v>9.4000000000000004E-3</v>
      </c>
      <c r="H127">
        <v>729</v>
      </c>
      <c r="I127">
        <v>0.5323</v>
      </c>
      <c r="J127">
        <v>0.50929999999999997</v>
      </c>
      <c r="K127">
        <v>1.0450999999999999</v>
      </c>
      <c r="L127" s="26">
        <v>4.19E-10</v>
      </c>
      <c r="M127" s="26">
        <v>4.2500000000000002E-14</v>
      </c>
      <c r="N127" s="26">
        <v>9.0699999999999994E-11</v>
      </c>
      <c r="O127" s="26">
        <v>7.7500000000000007E-12</v>
      </c>
      <c r="P127" s="26">
        <v>9.2200000000000007E-15</v>
      </c>
      <c r="Q127" s="26">
        <v>3.9799999999999996E-12</v>
      </c>
    </row>
    <row r="128" spans="1:17" x14ac:dyDescent="0.3">
      <c r="A128" t="s">
        <v>172</v>
      </c>
      <c r="B128">
        <v>78.074200000000005</v>
      </c>
      <c r="C128">
        <v>20.385400000000001</v>
      </c>
      <c r="D128">
        <v>0.93859999999999999</v>
      </c>
      <c r="E128">
        <v>0.59009999999999996</v>
      </c>
      <c r="F128">
        <v>2E-3</v>
      </c>
      <c r="G128">
        <v>9.5999999999999992E-3</v>
      </c>
      <c r="H128">
        <v>713</v>
      </c>
      <c r="I128">
        <v>0.54549999999999998</v>
      </c>
      <c r="J128">
        <v>0.52810000000000001</v>
      </c>
      <c r="K128">
        <v>1.0329999999999999</v>
      </c>
      <c r="L128" s="26">
        <v>4.19E-10</v>
      </c>
      <c r="M128" s="26">
        <v>4.3300000000000002E-14</v>
      </c>
      <c r="N128" s="26">
        <v>9.0699999999999994E-11</v>
      </c>
      <c r="O128" s="26">
        <v>7.7599999999999992E-12</v>
      </c>
      <c r="P128" s="26">
        <v>8.7999999999999994E-15</v>
      </c>
      <c r="Q128" s="26">
        <v>4.0800000000000004E-12</v>
      </c>
    </row>
    <row r="129" spans="1:17" x14ac:dyDescent="0.3">
      <c r="A129" t="s">
        <v>173</v>
      </c>
      <c r="B129">
        <v>78.077600000000004</v>
      </c>
      <c r="C129">
        <v>20.369599999999998</v>
      </c>
      <c r="D129">
        <v>0.93910000000000005</v>
      </c>
      <c r="E129">
        <v>0.60229999999999995</v>
      </c>
      <c r="F129">
        <v>1.9E-3</v>
      </c>
      <c r="G129">
        <v>9.5999999999999992E-3</v>
      </c>
      <c r="H129">
        <v>720</v>
      </c>
      <c r="I129">
        <v>0.55759999999999998</v>
      </c>
      <c r="J129">
        <v>0.5413</v>
      </c>
      <c r="K129">
        <v>1.0301</v>
      </c>
      <c r="L129" s="26">
        <v>4.2E-10</v>
      </c>
      <c r="M129" s="26">
        <v>4.3300000000000002E-14</v>
      </c>
      <c r="N129" s="26">
        <v>9.0699999999999994E-11</v>
      </c>
      <c r="O129" s="26">
        <v>7.7599999999999992E-12</v>
      </c>
      <c r="P129" s="26">
        <v>8.4200000000000003E-15</v>
      </c>
      <c r="Q129" s="26">
        <v>4.16E-12</v>
      </c>
    </row>
    <row r="130" spans="1:17" x14ac:dyDescent="0.3">
      <c r="A130" t="s">
        <v>174</v>
      </c>
      <c r="B130">
        <v>78.073599999999999</v>
      </c>
      <c r="C130">
        <v>20.3611</v>
      </c>
      <c r="D130">
        <v>0.93840000000000001</v>
      </c>
      <c r="E130">
        <v>0.61439999999999995</v>
      </c>
      <c r="F130">
        <v>3.0999999999999999E-3</v>
      </c>
      <c r="G130">
        <v>9.4000000000000004E-3</v>
      </c>
      <c r="H130">
        <v>728</v>
      </c>
      <c r="I130">
        <v>0.56950000000000001</v>
      </c>
      <c r="J130">
        <v>0.55359999999999998</v>
      </c>
      <c r="K130">
        <v>1.0288999999999999</v>
      </c>
      <c r="L130" s="26">
        <v>4.2E-10</v>
      </c>
      <c r="M130" s="26">
        <v>4.2699999999999997E-14</v>
      </c>
      <c r="N130" s="26">
        <v>9.0699999999999994E-11</v>
      </c>
      <c r="O130" s="26">
        <v>7.7599999999999992E-12</v>
      </c>
      <c r="P130" s="26">
        <v>1.11E-14</v>
      </c>
      <c r="Q130" s="26">
        <v>4.2499999999999999E-12</v>
      </c>
    </row>
    <row r="131" spans="1:17" x14ac:dyDescent="0.3">
      <c r="A131" t="s">
        <v>175</v>
      </c>
      <c r="B131">
        <v>78.076499999999996</v>
      </c>
      <c r="C131">
        <v>20.344100000000001</v>
      </c>
      <c r="D131">
        <v>0.93899999999999995</v>
      </c>
      <c r="E131">
        <v>0.62770000000000004</v>
      </c>
      <c r="F131">
        <v>2.8E-3</v>
      </c>
      <c r="G131">
        <v>9.7999999999999997E-3</v>
      </c>
      <c r="H131">
        <v>720</v>
      </c>
      <c r="I131">
        <v>0.58279999999999998</v>
      </c>
      <c r="J131">
        <v>0.56930000000000003</v>
      </c>
      <c r="K131">
        <v>1.0237000000000001</v>
      </c>
      <c r="L131" s="26">
        <v>4.2E-10</v>
      </c>
      <c r="M131" s="26">
        <v>4.4199999999999997E-14</v>
      </c>
      <c r="N131" s="26">
        <v>9.0600000000000002E-11</v>
      </c>
      <c r="O131" s="26">
        <v>7.7699999999999994E-12</v>
      </c>
      <c r="P131" s="26">
        <v>1.07E-14</v>
      </c>
      <c r="Q131" s="26">
        <v>4.3399999999999997E-12</v>
      </c>
    </row>
    <row r="132" spans="1:17" x14ac:dyDescent="0.3">
      <c r="A132" t="s">
        <v>176</v>
      </c>
      <c r="B132">
        <v>78.081199999999995</v>
      </c>
      <c r="C132">
        <v>20.325399999999998</v>
      </c>
      <c r="D132">
        <v>0.93879999999999997</v>
      </c>
      <c r="E132">
        <v>0.6421</v>
      </c>
      <c r="F132">
        <v>2.8E-3</v>
      </c>
      <c r="G132">
        <v>9.5999999999999992E-3</v>
      </c>
      <c r="H132">
        <v>717</v>
      </c>
      <c r="I132">
        <v>0.59730000000000005</v>
      </c>
      <c r="J132">
        <v>0.59030000000000005</v>
      </c>
      <c r="K132">
        <v>1.0118</v>
      </c>
      <c r="L132" s="26">
        <v>4.2E-10</v>
      </c>
      <c r="M132" s="26">
        <v>4.3400000000000003E-14</v>
      </c>
      <c r="N132" s="26">
        <v>9.0499999999999998E-11</v>
      </c>
      <c r="O132" s="26">
        <v>7.7599999999999992E-12</v>
      </c>
      <c r="P132" s="26">
        <v>1.06E-14</v>
      </c>
      <c r="Q132" s="26">
        <v>4.4399999999999997E-12</v>
      </c>
    </row>
    <row r="133" spans="1:17" x14ac:dyDescent="0.3">
      <c r="A133" t="s">
        <v>177</v>
      </c>
      <c r="B133">
        <v>78.077399999999997</v>
      </c>
      <c r="C133">
        <v>20.317599999999999</v>
      </c>
      <c r="D133">
        <v>0.93869999999999998</v>
      </c>
      <c r="E133">
        <v>0.65329999999999999</v>
      </c>
      <c r="F133">
        <v>3.0000000000000001E-3</v>
      </c>
      <c r="G133">
        <v>9.9000000000000008E-3</v>
      </c>
      <c r="H133">
        <v>733</v>
      </c>
      <c r="I133">
        <v>0.60860000000000003</v>
      </c>
      <c r="J133">
        <v>0.59370000000000001</v>
      </c>
      <c r="K133">
        <v>1.0250999999999999</v>
      </c>
      <c r="L133" s="26">
        <v>4.2E-10</v>
      </c>
      <c r="M133" s="26">
        <v>4.4399999999999999E-14</v>
      </c>
      <c r="N133" s="26">
        <v>9.0499999999999998E-11</v>
      </c>
      <c r="O133" s="26">
        <v>7.7599999999999992E-12</v>
      </c>
      <c r="P133" s="26">
        <v>1.11E-14</v>
      </c>
      <c r="Q133" s="26">
        <v>4.5200000000000001E-12</v>
      </c>
    </row>
    <row r="134" spans="1:17" x14ac:dyDescent="0.3">
      <c r="A134" t="s">
        <v>178</v>
      </c>
      <c r="B134">
        <v>78.075800000000001</v>
      </c>
      <c r="C134">
        <v>20.3034</v>
      </c>
      <c r="D134">
        <v>0.93889999999999996</v>
      </c>
      <c r="E134">
        <v>0.67</v>
      </c>
      <c r="F134">
        <v>2.2000000000000001E-3</v>
      </c>
      <c r="G134">
        <v>9.7000000000000003E-3</v>
      </c>
      <c r="H134">
        <v>711</v>
      </c>
      <c r="I134">
        <v>0.62560000000000004</v>
      </c>
      <c r="J134">
        <v>0.60880000000000001</v>
      </c>
      <c r="K134">
        <v>1.0275000000000001</v>
      </c>
      <c r="L134" s="26">
        <v>4.2E-10</v>
      </c>
      <c r="M134" s="26">
        <v>4.3599999999999998E-14</v>
      </c>
      <c r="N134" s="26">
        <v>9.0499999999999998E-11</v>
      </c>
      <c r="O134" s="26">
        <v>7.7699999999999994E-12</v>
      </c>
      <c r="P134" s="26">
        <v>9.2599999999999998E-15</v>
      </c>
      <c r="Q134" s="26">
        <v>4.6300000000000003E-12</v>
      </c>
    </row>
    <row r="135" spans="1:17" x14ac:dyDescent="0.3">
      <c r="A135" t="s">
        <v>179</v>
      </c>
      <c r="B135">
        <v>78.081000000000003</v>
      </c>
      <c r="C135">
        <v>20.2837</v>
      </c>
      <c r="D135">
        <v>0.93859999999999999</v>
      </c>
      <c r="E135">
        <v>0.68410000000000004</v>
      </c>
      <c r="F135">
        <v>3.0000000000000001E-3</v>
      </c>
      <c r="G135">
        <v>9.7000000000000003E-3</v>
      </c>
      <c r="H135">
        <v>723</v>
      </c>
      <c r="I135">
        <v>0.63900000000000001</v>
      </c>
      <c r="J135">
        <v>0.62760000000000005</v>
      </c>
      <c r="K135">
        <v>1.0181</v>
      </c>
      <c r="L135" s="26">
        <v>4.2E-10</v>
      </c>
      <c r="M135" s="26">
        <v>4.3599999999999998E-14</v>
      </c>
      <c r="N135" s="26">
        <v>9.0300000000000001E-11</v>
      </c>
      <c r="O135" s="26">
        <v>7.7599999999999992E-12</v>
      </c>
      <c r="P135" s="26">
        <v>1.1E-14</v>
      </c>
      <c r="Q135" s="26">
        <v>4.7300000000000002E-12</v>
      </c>
    </row>
    <row r="136" spans="1:17" x14ac:dyDescent="0.3">
      <c r="A136" t="s">
        <v>180</v>
      </c>
      <c r="B136">
        <v>78.080399999999997</v>
      </c>
      <c r="C136">
        <v>20.267900000000001</v>
      </c>
      <c r="D136">
        <v>0.93940000000000001</v>
      </c>
      <c r="E136">
        <v>0.70020000000000004</v>
      </c>
      <c r="F136">
        <v>3.0000000000000001E-3</v>
      </c>
      <c r="G136">
        <v>9.1000000000000004E-3</v>
      </c>
      <c r="H136">
        <v>731</v>
      </c>
      <c r="I136">
        <v>0.65380000000000005</v>
      </c>
      <c r="J136">
        <v>0.64539999999999997</v>
      </c>
      <c r="K136">
        <v>1.0128999999999999</v>
      </c>
      <c r="L136" s="26">
        <v>4.19E-10</v>
      </c>
      <c r="M136" s="26">
        <v>4.15E-14</v>
      </c>
      <c r="N136" s="26">
        <v>9.0199999999999996E-11</v>
      </c>
      <c r="O136" s="26">
        <v>7.7599999999999992E-12</v>
      </c>
      <c r="P136" s="26">
        <v>1.08E-14</v>
      </c>
      <c r="Q136" s="26">
        <v>4.8400000000000004E-12</v>
      </c>
    </row>
    <row r="137" spans="1:17" x14ac:dyDescent="0.3">
      <c r="A137" t="s">
        <v>181</v>
      </c>
      <c r="B137">
        <v>78.087100000000007</v>
      </c>
      <c r="C137">
        <v>20.2454</v>
      </c>
      <c r="D137">
        <v>0.93899999999999995</v>
      </c>
      <c r="E137">
        <v>0.71760000000000002</v>
      </c>
      <c r="F137">
        <v>1.6999999999999999E-3</v>
      </c>
      <c r="G137">
        <v>9.2999999999999992E-3</v>
      </c>
      <c r="H137">
        <v>715</v>
      </c>
      <c r="I137">
        <v>0.67130000000000001</v>
      </c>
      <c r="J137">
        <v>0.6724</v>
      </c>
      <c r="K137">
        <v>0.99850000000000005</v>
      </c>
      <c r="L137" s="26">
        <v>4.19E-10</v>
      </c>
      <c r="M137" s="26">
        <v>4.1999999999999998E-14</v>
      </c>
      <c r="N137" s="26">
        <v>8.9999999999999999E-11</v>
      </c>
      <c r="O137" s="26">
        <v>7.7500000000000007E-12</v>
      </c>
      <c r="P137" s="26">
        <v>7.9500000000000002E-15</v>
      </c>
      <c r="Q137" s="26">
        <v>4.9499999999999997E-12</v>
      </c>
    </row>
    <row r="138" spans="1:17" x14ac:dyDescent="0.3">
      <c r="A138" t="s">
        <v>182</v>
      </c>
      <c r="B138">
        <v>78.195400000000006</v>
      </c>
      <c r="C138">
        <v>20.1342</v>
      </c>
      <c r="D138">
        <v>0.93240000000000001</v>
      </c>
      <c r="E138">
        <v>0.72619999999999996</v>
      </c>
      <c r="F138">
        <v>3.0999999999999999E-3</v>
      </c>
      <c r="G138">
        <v>8.6999999999999994E-3</v>
      </c>
      <c r="H138">
        <v>624</v>
      </c>
      <c r="I138">
        <v>0.67959999999999998</v>
      </c>
      <c r="J138">
        <v>0.80659999999999998</v>
      </c>
      <c r="K138">
        <v>0.84250000000000003</v>
      </c>
      <c r="L138" s="26">
        <v>4.2E-10</v>
      </c>
      <c r="M138" s="26">
        <v>3.9899999999999999E-14</v>
      </c>
      <c r="N138" s="26">
        <v>8.9699999999999998E-11</v>
      </c>
      <c r="O138" s="26">
        <v>7.7100000000000001E-12</v>
      </c>
      <c r="P138" s="26">
        <v>1.1E-14</v>
      </c>
      <c r="Q138" s="26">
        <v>5.02E-12</v>
      </c>
    </row>
    <row r="139" spans="1:17" x14ac:dyDescent="0.3">
      <c r="A139" t="s">
        <v>183</v>
      </c>
      <c r="B139">
        <v>78.081699999999998</v>
      </c>
      <c r="C139">
        <v>20.2178</v>
      </c>
      <c r="D139">
        <v>0.93910000000000005</v>
      </c>
      <c r="E139">
        <v>0.749</v>
      </c>
      <c r="F139">
        <v>2.7000000000000001E-3</v>
      </c>
      <c r="G139">
        <v>9.7000000000000003E-3</v>
      </c>
      <c r="H139">
        <v>698</v>
      </c>
      <c r="I139">
        <v>0.70299999999999996</v>
      </c>
      <c r="J139">
        <v>0.68789999999999996</v>
      </c>
      <c r="K139">
        <v>1.022</v>
      </c>
      <c r="L139" s="26">
        <v>4.19E-10</v>
      </c>
      <c r="M139" s="26">
        <v>4.3699999999999999E-14</v>
      </c>
      <c r="N139" s="26">
        <v>8.9800000000000003E-11</v>
      </c>
      <c r="O139" s="26">
        <v>7.7400000000000005E-12</v>
      </c>
      <c r="P139" s="26">
        <v>1.0299999999999999E-14</v>
      </c>
      <c r="Q139" s="26">
        <v>5.1599999999999998E-12</v>
      </c>
    </row>
    <row r="140" spans="1:17" x14ac:dyDescent="0.3">
      <c r="A140" t="s">
        <v>184</v>
      </c>
      <c r="B140">
        <v>78.082400000000007</v>
      </c>
      <c r="C140">
        <v>20.206099999999999</v>
      </c>
      <c r="D140">
        <v>0.93879999999999997</v>
      </c>
      <c r="E140">
        <v>0.76019999999999999</v>
      </c>
      <c r="F140">
        <v>2.8E-3</v>
      </c>
      <c r="G140">
        <v>9.7000000000000003E-3</v>
      </c>
      <c r="H140">
        <v>716</v>
      </c>
      <c r="I140">
        <v>0.71479999999999999</v>
      </c>
      <c r="J140">
        <v>0.70789999999999997</v>
      </c>
      <c r="K140">
        <v>1.0098</v>
      </c>
      <c r="L140" s="26">
        <v>4.19E-10</v>
      </c>
      <c r="M140" s="26">
        <v>4.3400000000000003E-14</v>
      </c>
      <c r="N140" s="26">
        <v>8.9800000000000003E-11</v>
      </c>
      <c r="O140" s="26">
        <v>7.7500000000000007E-12</v>
      </c>
      <c r="P140" s="26">
        <v>1.07E-14</v>
      </c>
      <c r="Q140" s="26">
        <v>5.2400000000000003E-12</v>
      </c>
    </row>
    <row r="141" spans="1:17" x14ac:dyDescent="0.3">
      <c r="A141" t="s">
        <v>185</v>
      </c>
      <c r="B141">
        <v>78.0899</v>
      </c>
      <c r="C141">
        <v>20.186</v>
      </c>
      <c r="D141">
        <v>0.93810000000000004</v>
      </c>
      <c r="E141">
        <v>0.77370000000000005</v>
      </c>
      <c r="F141">
        <v>2.5000000000000001E-3</v>
      </c>
      <c r="G141">
        <v>9.7999999999999997E-3</v>
      </c>
      <c r="H141">
        <v>726</v>
      </c>
      <c r="I141">
        <v>0.72899999999999998</v>
      </c>
      <c r="J141">
        <v>0.72729999999999995</v>
      </c>
      <c r="K141">
        <v>1.0023</v>
      </c>
      <c r="L141" s="26">
        <v>4.19E-10</v>
      </c>
      <c r="M141" s="26">
        <v>4.3900000000000001E-14</v>
      </c>
      <c r="N141" s="26">
        <v>8.9800000000000003E-11</v>
      </c>
      <c r="O141" s="26">
        <v>7.7500000000000007E-12</v>
      </c>
      <c r="P141" s="26">
        <v>9.9499999999999996E-15</v>
      </c>
      <c r="Q141" s="26">
        <v>5.3400000000000003E-12</v>
      </c>
    </row>
    <row r="142" spans="1:17" x14ac:dyDescent="0.3">
      <c r="A142" t="s">
        <v>186</v>
      </c>
      <c r="B142">
        <v>78.082400000000007</v>
      </c>
      <c r="C142">
        <v>20.172000000000001</v>
      </c>
      <c r="D142">
        <v>0.93899999999999995</v>
      </c>
      <c r="E142">
        <v>0.79430000000000001</v>
      </c>
      <c r="F142">
        <v>2.7000000000000001E-3</v>
      </c>
      <c r="G142">
        <v>9.5999999999999992E-3</v>
      </c>
      <c r="H142">
        <v>711</v>
      </c>
      <c r="I142">
        <v>0.74919999999999998</v>
      </c>
      <c r="J142">
        <v>0.74029999999999996</v>
      </c>
      <c r="K142">
        <v>1.0121</v>
      </c>
      <c r="L142" s="26">
        <v>4.19E-10</v>
      </c>
      <c r="M142" s="26">
        <v>4.3200000000000001E-14</v>
      </c>
      <c r="N142" s="26">
        <v>8.9699999999999998E-11</v>
      </c>
      <c r="O142" s="26">
        <v>7.7500000000000007E-12</v>
      </c>
      <c r="P142" s="26">
        <v>1.0299999999999999E-14</v>
      </c>
      <c r="Q142" s="26">
        <v>5.4800000000000001E-12</v>
      </c>
    </row>
    <row r="143" spans="1:17" x14ac:dyDescent="0.3">
      <c r="A143" t="s">
        <v>187</v>
      </c>
      <c r="B143">
        <v>78.081800000000001</v>
      </c>
      <c r="C143">
        <v>20.157499999999999</v>
      </c>
      <c r="D143">
        <v>0.93869999999999998</v>
      </c>
      <c r="E143">
        <v>0.81</v>
      </c>
      <c r="F143">
        <v>2.8E-3</v>
      </c>
      <c r="G143">
        <v>9.1999999999999998E-3</v>
      </c>
      <c r="H143">
        <v>714</v>
      </c>
      <c r="I143">
        <v>0.76400000000000001</v>
      </c>
      <c r="J143">
        <v>0.74939999999999996</v>
      </c>
      <c r="K143">
        <v>1.0195000000000001</v>
      </c>
      <c r="L143" s="26">
        <v>4.19E-10</v>
      </c>
      <c r="M143" s="26">
        <v>4.1800000000000002E-14</v>
      </c>
      <c r="N143" s="26">
        <v>8.9699999999999998E-11</v>
      </c>
      <c r="O143" s="26">
        <v>7.7500000000000007E-12</v>
      </c>
      <c r="P143" s="26">
        <v>1.04E-14</v>
      </c>
      <c r="Q143" s="26">
        <v>5.5900000000000002E-12</v>
      </c>
    </row>
    <row r="144" spans="1:17" x14ac:dyDescent="0.3">
      <c r="A144" t="s">
        <v>188</v>
      </c>
      <c r="B144">
        <v>78.085499999999996</v>
      </c>
      <c r="C144">
        <v>20.133099999999999</v>
      </c>
      <c r="D144">
        <v>0.93920000000000003</v>
      </c>
      <c r="E144">
        <v>0.82969999999999999</v>
      </c>
      <c r="F144">
        <v>2.3E-3</v>
      </c>
      <c r="G144">
        <v>1.01E-2</v>
      </c>
      <c r="H144">
        <v>723</v>
      </c>
      <c r="I144">
        <v>0.78420000000000001</v>
      </c>
      <c r="J144">
        <v>0.78</v>
      </c>
      <c r="K144">
        <v>1.0054000000000001</v>
      </c>
      <c r="L144" s="26">
        <v>4.19E-10</v>
      </c>
      <c r="M144" s="26">
        <v>4.5199999999999999E-14</v>
      </c>
      <c r="N144" s="26">
        <v>8.9600000000000006E-11</v>
      </c>
      <c r="O144" s="26">
        <v>7.7599999999999992E-12</v>
      </c>
      <c r="P144" s="26">
        <v>9.7399999999999997E-15</v>
      </c>
      <c r="Q144" s="26">
        <v>5.7199999999999999E-12</v>
      </c>
    </row>
    <row r="145" spans="1:17" x14ac:dyDescent="0.3">
      <c r="A145" t="s">
        <v>189</v>
      </c>
      <c r="B145">
        <v>78.080600000000004</v>
      </c>
      <c r="C145">
        <v>20.1159</v>
      </c>
      <c r="D145">
        <v>0.93899999999999995</v>
      </c>
      <c r="E145">
        <v>0.85260000000000002</v>
      </c>
      <c r="F145">
        <v>2.0999999999999999E-3</v>
      </c>
      <c r="G145">
        <v>9.9000000000000008E-3</v>
      </c>
      <c r="H145">
        <v>709</v>
      </c>
      <c r="I145">
        <v>0.80689999999999995</v>
      </c>
      <c r="J145">
        <v>0.79520000000000002</v>
      </c>
      <c r="K145">
        <v>1.0146999999999999</v>
      </c>
      <c r="L145" s="26">
        <v>4.19E-10</v>
      </c>
      <c r="M145" s="26">
        <v>4.4199999999999997E-14</v>
      </c>
      <c r="N145" s="26">
        <v>8.9399999999999996E-11</v>
      </c>
      <c r="O145" s="26">
        <v>7.7500000000000007E-12</v>
      </c>
      <c r="P145" s="26">
        <v>9.1899999999999998E-15</v>
      </c>
      <c r="Q145" s="26">
        <v>5.88E-12</v>
      </c>
    </row>
    <row r="146" spans="1:17" x14ac:dyDescent="0.3">
      <c r="A146" t="s">
        <v>190</v>
      </c>
      <c r="B146">
        <v>78.079300000000003</v>
      </c>
      <c r="C146">
        <v>20.097799999999999</v>
      </c>
      <c r="D146">
        <v>0.93869999999999998</v>
      </c>
      <c r="E146">
        <v>0.87129999999999996</v>
      </c>
      <c r="F146">
        <v>3.0999999999999999E-3</v>
      </c>
      <c r="G146">
        <v>9.9000000000000008E-3</v>
      </c>
      <c r="H146">
        <v>713</v>
      </c>
      <c r="I146">
        <v>0.82630000000000003</v>
      </c>
      <c r="J146">
        <v>0.81369999999999998</v>
      </c>
      <c r="K146">
        <v>1.0155000000000001</v>
      </c>
      <c r="L146" s="26">
        <v>4.19E-10</v>
      </c>
      <c r="M146" s="26">
        <v>4.4299999999999998E-14</v>
      </c>
      <c r="N146" s="26">
        <v>8.9399999999999996E-11</v>
      </c>
      <c r="O146" s="26">
        <v>7.7500000000000007E-12</v>
      </c>
      <c r="P146" s="26">
        <v>1.1400000000000001E-14</v>
      </c>
      <c r="Q146" s="26">
        <v>6.0099999999999996E-12</v>
      </c>
    </row>
    <row r="147" spans="1:17" x14ac:dyDescent="0.3">
      <c r="A147" t="s">
        <v>191</v>
      </c>
      <c r="B147">
        <v>78.082599999999999</v>
      </c>
      <c r="C147">
        <v>20.0762</v>
      </c>
      <c r="D147">
        <v>0.93910000000000005</v>
      </c>
      <c r="E147">
        <v>0.89049999999999996</v>
      </c>
      <c r="F147">
        <v>2.5000000000000001E-3</v>
      </c>
      <c r="G147">
        <v>9.1000000000000004E-3</v>
      </c>
      <c r="H147">
        <v>728</v>
      </c>
      <c r="I147">
        <v>0.84509999999999996</v>
      </c>
      <c r="J147">
        <v>0.83379999999999999</v>
      </c>
      <c r="K147">
        <v>1.0135000000000001</v>
      </c>
      <c r="L147" s="26">
        <v>4.19E-10</v>
      </c>
      <c r="M147" s="26">
        <v>4.1399999999999999E-14</v>
      </c>
      <c r="N147" s="26">
        <v>8.92E-11</v>
      </c>
      <c r="O147" s="26">
        <v>7.7500000000000007E-12</v>
      </c>
      <c r="P147" s="26">
        <v>9.8899999999999994E-15</v>
      </c>
      <c r="Q147" s="26">
        <v>6.1400000000000001E-12</v>
      </c>
    </row>
    <row r="148" spans="1:17" x14ac:dyDescent="0.3">
      <c r="A148" t="s">
        <v>192</v>
      </c>
      <c r="B148">
        <v>78.078900000000004</v>
      </c>
      <c r="C148">
        <v>20.060099999999998</v>
      </c>
      <c r="D148">
        <v>0.93869999999999998</v>
      </c>
      <c r="E148">
        <v>0.90890000000000004</v>
      </c>
      <c r="F148">
        <v>3.5999999999999999E-3</v>
      </c>
      <c r="G148">
        <v>9.7999999999999997E-3</v>
      </c>
      <c r="H148">
        <v>708</v>
      </c>
      <c r="I148">
        <v>0.8639</v>
      </c>
      <c r="J148">
        <v>0.85270000000000001</v>
      </c>
      <c r="K148">
        <v>1.0132000000000001</v>
      </c>
      <c r="L148" s="26">
        <v>4.19E-10</v>
      </c>
      <c r="M148" s="26">
        <v>4.4100000000000003E-14</v>
      </c>
      <c r="N148" s="26">
        <v>8.92E-11</v>
      </c>
      <c r="O148" s="26">
        <v>7.7500000000000007E-12</v>
      </c>
      <c r="P148" s="26">
        <v>1.26E-14</v>
      </c>
      <c r="Q148" s="26">
        <v>6.2699999999999997E-12</v>
      </c>
    </row>
    <row r="149" spans="1:17" x14ac:dyDescent="0.3">
      <c r="A149" t="s">
        <v>193</v>
      </c>
      <c r="B149">
        <v>78.084699999999998</v>
      </c>
      <c r="C149">
        <v>20.035</v>
      </c>
      <c r="D149">
        <v>0.93859999999999999</v>
      </c>
      <c r="E149">
        <v>0.9294</v>
      </c>
      <c r="F149">
        <v>2.8999999999999998E-3</v>
      </c>
      <c r="G149">
        <v>9.2999999999999992E-3</v>
      </c>
      <c r="H149">
        <v>716</v>
      </c>
      <c r="I149">
        <v>0.88490000000000002</v>
      </c>
      <c r="J149">
        <v>0.87919999999999998</v>
      </c>
      <c r="K149">
        <v>1.0064</v>
      </c>
      <c r="L149" s="26">
        <v>4.19E-10</v>
      </c>
      <c r="M149" s="26">
        <v>4.2099999999999999E-14</v>
      </c>
      <c r="N149" s="26">
        <v>8.9099999999999995E-11</v>
      </c>
      <c r="O149" s="26">
        <v>7.7500000000000007E-12</v>
      </c>
      <c r="P149" s="26">
        <v>1.1E-14</v>
      </c>
      <c r="Q149" s="26">
        <v>6.4100000000000004E-12</v>
      </c>
    </row>
    <row r="150" spans="1:17" x14ac:dyDescent="0.3">
      <c r="A150" t="s">
        <v>194</v>
      </c>
      <c r="B150">
        <v>78.080200000000005</v>
      </c>
      <c r="C150">
        <v>20.015499999999999</v>
      </c>
      <c r="D150">
        <v>0.93930000000000002</v>
      </c>
      <c r="E150">
        <v>0.95209999999999995</v>
      </c>
      <c r="F150">
        <v>3.8E-3</v>
      </c>
      <c r="G150">
        <v>9.1000000000000004E-3</v>
      </c>
      <c r="H150">
        <v>727</v>
      </c>
      <c r="I150">
        <v>0.90720000000000001</v>
      </c>
      <c r="J150">
        <v>0.89759999999999995</v>
      </c>
      <c r="K150">
        <v>1.0105999999999999</v>
      </c>
      <c r="L150" s="26">
        <v>4.19E-10</v>
      </c>
      <c r="M150" s="26">
        <v>4.1399999999999999E-14</v>
      </c>
      <c r="N150" s="26">
        <v>8.9000000000000003E-11</v>
      </c>
      <c r="O150" s="26">
        <v>7.7500000000000007E-12</v>
      </c>
      <c r="P150" s="26">
        <v>1.27E-14</v>
      </c>
      <c r="Q150" s="26">
        <v>6.5699999999999997E-12</v>
      </c>
    </row>
    <row r="151" spans="1:17" x14ac:dyDescent="0.3">
      <c r="A151" t="s">
        <v>195</v>
      </c>
      <c r="B151">
        <v>78.086200000000005</v>
      </c>
      <c r="C151">
        <v>19.988399999999999</v>
      </c>
      <c r="D151">
        <v>0.93899999999999995</v>
      </c>
      <c r="E151">
        <v>0.97360000000000002</v>
      </c>
      <c r="F151">
        <v>3.3E-3</v>
      </c>
      <c r="G151">
        <v>9.4999999999999998E-3</v>
      </c>
      <c r="H151">
        <v>711</v>
      </c>
      <c r="I151">
        <v>0.92889999999999995</v>
      </c>
      <c r="J151">
        <v>0.92689999999999995</v>
      </c>
      <c r="K151">
        <v>1.0022</v>
      </c>
      <c r="L151" s="26">
        <v>4.19E-10</v>
      </c>
      <c r="M151" s="26">
        <v>4.2799999999999998E-14</v>
      </c>
      <c r="N151" s="26">
        <v>8.8899999999999998E-11</v>
      </c>
      <c r="O151" s="26">
        <v>7.7500000000000007E-12</v>
      </c>
      <c r="P151" s="26">
        <v>1.19E-14</v>
      </c>
      <c r="Q151" s="26">
        <v>6.7100000000000003E-12</v>
      </c>
    </row>
    <row r="152" spans="1:17" x14ac:dyDescent="0.3">
      <c r="A152" t="s">
        <v>196</v>
      </c>
      <c r="B152">
        <v>78.084599999999995</v>
      </c>
      <c r="C152">
        <v>19.967600000000001</v>
      </c>
      <c r="D152">
        <v>0.93910000000000005</v>
      </c>
      <c r="E152">
        <v>0.99729999999999996</v>
      </c>
      <c r="F152">
        <v>2.5999999999999999E-3</v>
      </c>
      <c r="G152">
        <v>8.8000000000000005E-3</v>
      </c>
      <c r="H152">
        <v>724</v>
      </c>
      <c r="I152">
        <v>0.95269999999999999</v>
      </c>
      <c r="J152">
        <v>0.94969999999999999</v>
      </c>
      <c r="K152">
        <v>1.0031000000000001</v>
      </c>
      <c r="L152" s="26">
        <v>4.19E-10</v>
      </c>
      <c r="M152" s="26">
        <v>4.0100000000000001E-14</v>
      </c>
      <c r="N152" s="26">
        <v>8.8800000000000006E-11</v>
      </c>
      <c r="O152" s="26">
        <v>7.7500000000000007E-12</v>
      </c>
      <c r="P152" s="26">
        <v>1.0099999999999999E-14</v>
      </c>
      <c r="Q152" s="26">
        <v>6.8699999999999996E-12</v>
      </c>
    </row>
    <row r="153" spans="1:17" x14ac:dyDescent="0.3">
      <c r="A153" t="s">
        <v>197</v>
      </c>
      <c r="B153">
        <v>78.088999999999999</v>
      </c>
      <c r="C153">
        <v>19.943200000000001</v>
      </c>
      <c r="D153">
        <v>0.9385</v>
      </c>
      <c r="E153">
        <v>1.0166999999999999</v>
      </c>
      <c r="F153">
        <v>3.0999999999999999E-3</v>
      </c>
      <c r="G153">
        <v>9.4000000000000004E-3</v>
      </c>
      <c r="H153">
        <v>707</v>
      </c>
      <c r="I153">
        <v>0.97219999999999995</v>
      </c>
      <c r="J153">
        <v>0.96919999999999995</v>
      </c>
      <c r="K153">
        <v>1.0031000000000001</v>
      </c>
      <c r="L153" s="26">
        <v>4.19E-10</v>
      </c>
      <c r="M153" s="26">
        <v>4.2500000000000002E-14</v>
      </c>
      <c r="N153" s="26">
        <v>8.8700000000000001E-11</v>
      </c>
      <c r="O153" s="26">
        <v>7.7500000000000007E-12</v>
      </c>
      <c r="P153" s="26">
        <v>1.15E-14</v>
      </c>
      <c r="Q153" s="26">
        <v>7.0100000000000002E-12</v>
      </c>
    </row>
    <row r="154" spans="1:17" x14ac:dyDescent="0.3">
      <c r="A154" t="s">
        <v>198</v>
      </c>
      <c r="B154">
        <v>78.093999999999994</v>
      </c>
      <c r="C154">
        <v>19.9145</v>
      </c>
      <c r="D154">
        <v>0.93879999999999997</v>
      </c>
      <c r="E154">
        <v>1.0405</v>
      </c>
      <c r="F154">
        <v>3.0999999999999999E-3</v>
      </c>
      <c r="G154">
        <v>9.1999999999999998E-3</v>
      </c>
      <c r="H154">
        <v>713</v>
      </c>
      <c r="I154">
        <v>0.99590000000000001</v>
      </c>
      <c r="J154">
        <v>1.0037</v>
      </c>
      <c r="K154">
        <v>0.99219999999999997</v>
      </c>
      <c r="L154" s="26">
        <v>4.2E-10</v>
      </c>
      <c r="M154" s="26">
        <v>4.1600000000000001E-14</v>
      </c>
      <c r="N154" s="26">
        <v>8.8700000000000001E-11</v>
      </c>
      <c r="O154" s="26">
        <v>7.7599999999999992E-12</v>
      </c>
      <c r="P154" s="26">
        <v>1.13E-14</v>
      </c>
      <c r="Q154" s="26">
        <v>7.1799999999999997E-12</v>
      </c>
    </row>
    <row r="155" spans="1:17" x14ac:dyDescent="0.3">
      <c r="A155" t="s">
        <v>199</v>
      </c>
      <c r="B155">
        <v>78.098799999999997</v>
      </c>
      <c r="C155">
        <v>19.892900000000001</v>
      </c>
      <c r="D155">
        <v>0.93759999999999999</v>
      </c>
      <c r="E155">
        <v>1.0599000000000001</v>
      </c>
      <c r="F155">
        <v>1.8E-3</v>
      </c>
      <c r="G155">
        <v>8.8999999999999999E-3</v>
      </c>
      <c r="H155">
        <v>729</v>
      </c>
      <c r="I155">
        <v>1.0157</v>
      </c>
      <c r="J155">
        <v>1.0275000000000001</v>
      </c>
      <c r="K155">
        <v>0.98860000000000003</v>
      </c>
      <c r="L155" s="26">
        <v>4.2099999999999999E-10</v>
      </c>
      <c r="M155" s="26">
        <v>4.08E-14</v>
      </c>
      <c r="N155" s="26">
        <v>8.8899999999999998E-11</v>
      </c>
      <c r="O155" s="26">
        <v>7.7799999999999996E-12</v>
      </c>
      <c r="P155" s="26">
        <v>8.5299999999999994E-15</v>
      </c>
      <c r="Q155" s="26">
        <v>7.3300000000000005E-12</v>
      </c>
    </row>
    <row r="156" spans="1:17" x14ac:dyDescent="0.3">
      <c r="A156" t="s">
        <v>200</v>
      </c>
      <c r="B156">
        <v>78.091899999999995</v>
      </c>
      <c r="C156">
        <v>19.877300000000002</v>
      </c>
      <c r="D156">
        <v>0.93969999999999998</v>
      </c>
      <c r="E156">
        <v>1.08</v>
      </c>
      <c r="F156">
        <v>2.2000000000000001E-3</v>
      </c>
      <c r="G156">
        <v>8.8999999999999999E-3</v>
      </c>
      <c r="H156">
        <v>711</v>
      </c>
      <c r="I156">
        <v>1.0358000000000001</v>
      </c>
      <c r="J156">
        <v>1.036</v>
      </c>
      <c r="K156">
        <v>0.99980000000000002</v>
      </c>
      <c r="L156" s="26">
        <v>4.2E-10</v>
      </c>
      <c r="M156" s="26">
        <v>4.0499999999999998E-14</v>
      </c>
      <c r="N156" s="26">
        <v>8.8500000000000005E-11</v>
      </c>
      <c r="O156" s="26">
        <v>7.7699999999999994E-12</v>
      </c>
      <c r="P156" s="26">
        <v>9.2900000000000007E-15</v>
      </c>
      <c r="Q156" s="26">
        <v>7.4500000000000008E-12</v>
      </c>
    </row>
    <row r="157" spans="1:17" x14ac:dyDescent="0.3">
      <c r="A157" t="s">
        <v>201</v>
      </c>
      <c r="B157">
        <v>78.093699999999998</v>
      </c>
      <c r="C157">
        <v>19.854900000000001</v>
      </c>
      <c r="D157">
        <v>0.93830000000000002</v>
      </c>
      <c r="E157">
        <v>1.1005</v>
      </c>
      <c r="F157">
        <v>2.5000000000000001E-3</v>
      </c>
      <c r="G157">
        <v>0.01</v>
      </c>
      <c r="H157">
        <v>716</v>
      </c>
      <c r="I157">
        <v>1.0562</v>
      </c>
      <c r="J157">
        <v>1.0641</v>
      </c>
      <c r="K157">
        <v>0.99270000000000003</v>
      </c>
      <c r="L157" s="26">
        <v>4.2E-10</v>
      </c>
      <c r="M157" s="26">
        <v>4.4800000000000002E-14</v>
      </c>
      <c r="N157" s="26">
        <v>8.84E-11</v>
      </c>
      <c r="O157" s="26">
        <v>7.7599999999999992E-12</v>
      </c>
      <c r="P157" s="26">
        <v>1.0299999999999999E-14</v>
      </c>
      <c r="Q157" s="26">
        <v>7.5899999999999998E-12</v>
      </c>
    </row>
    <row r="158" spans="1:17" x14ac:dyDescent="0.3">
      <c r="A158" t="s">
        <v>202</v>
      </c>
      <c r="B158">
        <v>78.086500000000001</v>
      </c>
      <c r="C158">
        <v>19.8353</v>
      </c>
      <c r="D158">
        <v>0.93930000000000002</v>
      </c>
      <c r="E158">
        <v>1.1258999999999999</v>
      </c>
      <c r="F158">
        <v>3.8999999999999998E-3</v>
      </c>
      <c r="G158">
        <v>9.1999999999999998E-3</v>
      </c>
      <c r="H158">
        <v>721</v>
      </c>
      <c r="I158">
        <v>1.0818000000000001</v>
      </c>
      <c r="J158">
        <v>1.0790999999999999</v>
      </c>
      <c r="K158">
        <v>1.0024999999999999</v>
      </c>
      <c r="L158" s="26">
        <v>4.2E-10</v>
      </c>
      <c r="M158" s="26">
        <v>4.15E-14</v>
      </c>
      <c r="N158" s="26">
        <v>8.8299999999999995E-11</v>
      </c>
      <c r="O158" s="26">
        <v>7.7599999999999992E-12</v>
      </c>
      <c r="P158" s="26">
        <v>1.32E-14</v>
      </c>
      <c r="Q158" s="26">
        <v>7.7699999999999994E-12</v>
      </c>
    </row>
    <row r="159" spans="1:17" x14ac:dyDescent="0.3">
      <c r="A159" t="s">
        <v>203</v>
      </c>
      <c r="B159">
        <v>78.090199999999996</v>
      </c>
      <c r="C159">
        <v>19.8079</v>
      </c>
      <c r="D159">
        <v>0.93910000000000005</v>
      </c>
      <c r="E159">
        <v>1.1501999999999999</v>
      </c>
      <c r="F159">
        <v>3.0000000000000001E-3</v>
      </c>
      <c r="G159">
        <v>9.7000000000000003E-3</v>
      </c>
      <c r="H159">
        <v>723</v>
      </c>
      <c r="I159">
        <v>1.1060000000000001</v>
      </c>
      <c r="J159">
        <v>1.1074999999999999</v>
      </c>
      <c r="K159">
        <v>0.99860000000000004</v>
      </c>
      <c r="L159" s="26">
        <v>4.2E-10</v>
      </c>
      <c r="M159" s="26">
        <v>4.3499999999999998E-14</v>
      </c>
      <c r="N159" s="26">
        <v>8.8299999999999995E-11</v>
      </c>
      <c r="O159" s="26">
        <v>7.7699999999999994E-12</v>
      </c>
      <c r="P159" s="26">
        <v>1.13E-14</v>
      </c>
      <c r="Q159" s="26">
        <v>7.9400000000000005E-12</v>
      </c>
    </row>
    <row r="160" spans="1:17" x14ac:dyDescent="0.3">
      <c r="A160" t="s">
        <v>204</v>
      </c>
      <c r="B160">
        <v>78.086699999999993</v>
      </c>
      <c r="C160">
        <v>19.790299999999998</v>
      </c>
      <c r="D160">
        <v>0.93899999999999995</v>
      </c>
      <c r="E160">
        <v>1.173</v>
      </c>
      <c r="F160">
        <v>2.5999999999999999E-3</v>
      </c>
      <c r="G160">
        <v>8.3999999999999995E-3</v>
      </c>
      <c r="H160">
        <v>723</v>
      </c>
      <c r="I160">
        <v>1.1292</v>
      </c>
      <c r="J160">
        <v>1.1276999999999999</v>
      </c>
      <c r="K160">
        <v>1.0013000000000001</v>
      </c>
      <c r="L160" s="26">
        <v>4.2E-10</v>
      </c>
      <c r="M160" s="26">
        <v>3.8399999999999999E-14</v>
      </c>
      <c r="N160" s="26">
        <v>8.8099999999999998E-11</v>
      </c>
      <c r="O160" s="26">
        <v>7.7599999999999992E-12</v>
      </c>
      <c r="P160" s="26">
        <v>1.0099999999999999E-14</v>
      </c>
      <c r="Q160" s="26">
        <v>8.0899999999999997E-12</v>
      </c>
    </row>
    <row r="161" spans="1:17" x14ac:dyDescent="0.3">
      <c r="A161" t="s">
        <v>205</v>
      </c>
      <c r="B161">
        <v>78.087900000000005</v>
      </c>
      <c r="C161">
        <v>19.7666</v>
      </c>
      <c r="D161">
        <v>0.93889999999999996</v>
      </c>
      <c r="E161">
        <v>1.1949000000000001</v>
      </c>
      <c r="F161">
        <v>2.8E-3</v>
      </c>
      <c r="G161">
        <v>8.8999999999999999E-3</v>
      </c>
      <c r="H161">
        <v>713</v>
      </c>
      <c r="I161">
        <v>1.1512</v>
      </c>
      <c r="J161">
        <v>1.1489</v>
      </c>
      <c r="K161">
        <v>1.002</v>
      </c>
      <c r="L161" s="26">
        <v>4.2E-10</v>
      </c>
      <c r="M161" s="26">
        <v>4.0399999999999997E-14</v>
      </c>
      <c r="N161" s="26">
        <v>8.8000000000000006E-11</v>
      </c>
      <c r="O161" s="26">
        <v>7.7599999999999992E-12</v>
      </c>
      <c r="P161" s="26">
        <v>1.06E-14</v>
      </c>
      <c r="Q161" s="26">
        <v>8.2400000000000004E-12</v>
      </c>
    </row>
    <row r="162" spans="1:17" x14ac:dyDescent="0.3">
      <c r="A162" t="s">
        <v>206</v>
      </c>
      <c r="B162">
        <v>78.087000000000003</v>
      </c>
      <c r="C162">
        <v>19.740400000000001</v>
      </c>
      <c r="D162">
        <v>0.93840000000000001</v>
      </c>
      <c r="E162">
        <v>1.2232000000000001</v>
      </c>
      <c r="F162">
        <v>2.2000000000000001E-3</v>
      </c>
      <c r="G162">
        <v>8.8000000000000005E-3</v>
      </c>
      <c r="H162">
        <v>726</v>
      </c>
      <c r="I162">
        <v>1.1786000000000001</v>
      </c>
      <c r="J162">
        <v>1.1748000000000001</v>
      </c>
      <c r="K162">
        <v>1.0032000000000001</v>
      </c>
      <c r="L162" s="26">
        <v>4.2E-10</v>
      </c>
      <c r="M162" s="26">
        <v>4.0200000000000002E-14</v>
      </c>
      <c r="N162" s="26">
        <v>8.7900000000000001E-11</v>
      </c>
      <c r="O162" s="26">
        <v>7.7500000000000007E-12</v>
      </c>
      <c r="P162" s="26">
        <v>9.3100000000000002E-15</v>
      </c>
      <c r="Q162" s="26">
        <v>8.4300000000000002E-12</v>
      </c>
    </row>
    <row r="163" spans="1:17" x14ac:dyDescent="0.3">
      <c r="A163" t="s">
        <v>207</v>
      </c>
      <c r="B163">
        <v>78.096800000000002</v>
      </c>
      <c r="C163">
        <v>19.704599999999999</v>
      </c>
      <c r="D163">
        <v>0.93859999999999999</v>
      </c>
      <c r="E163">
        <v>1.2478</v>
      </c>
      <c r="F163">
        <v>2.8E-3</v>
      </c>
      <c r="G163">
        <v>9.2999999999999992E-3</v>
      </c>
      <c r="H163">
        <v>712</v>
      </c>
      <c r="I163">
        <v>1.2027000000000001</v>
      </c>
      <c r="J163">
        <v>1.206</v>
      </c>
      <c r="K163">
        <v>0.99719999999999998</v>
      </c>
      <c r="L163" s="26">
        <v>4.19E-10</v>
      </c>
      <c r="M163" s="26">
        <v>4.1999999999999998E-14</v>
      </c>
      <c r="N163" s="26">
        <v>8.7700000000000005E-11</v>
      </c>
      <c r="O163" s="26">
        <v>7.7500000000000007E-12</v>
      </c>
      <c r="P163" s="26">
        <v>1.09E-14</v>
      </c>
      <c r="Q163" s="26">
        <v>8.5999999999999997E-12</v>
      </c>
    </row>
    <row r="164" spans="1:17" x14ac:dyDescent="0.3">
      <c r="A164" t="s">
        <v>208</v>
      </c>
      <c r="B164">
        <v>78.048199999999994</v>
      </c>
      <c r="C164">
        <v>19.724799999999998</v>
      </c>
      <c r="D164">
        <v>0.94199999999999995</v>
      </c>
      <c r="E164">
        <v>1.2741</v>
      </c>
      <c r="F164">
        <v>2.3999999999999998E-3</v>
      </c>
      <c r="G164">
        <v>8.3999999999999995E-3</v>
      </c>
      <c r="H164">
        <v>471</v>
      </c>
      <c r="I164">
        <v>1.2303999999999999</v>
      </c>
      <c r="J164">
        <v>1.1819999999999999</v>
      </c>
      <c r="K164">
        <v>1.0408999999999999</v>
      </c>
      <c r="L164" s="26">
        <v>4.0599999999999999E-10</v>
      </c>
      <c r="M164" s="26">
        <v>3.7300000000000003E-14</v>
      </c>
      <c r="N164" s="26">
        <v>8.4899999999999999E-11</v>
      </c>
      <c r="O164" s="26">
        <v>7.5300000000000004E-12</v>
      </c>
      <c r="P164" s="26">
        <v>9.4099999999999995E-15</v>
      </c>
      <c r="Q164" s="26">
        <v>8.4999999999999997E-12</v>
      </c>
    </row>
    <row r="165" spans="1:17" x14ac:dyDescent="0.3">
      <c r="A165" t="s">
        <v>209</v>
      </c>
      <c r="B165">
        <v>78.081100000000006</v>
      </c>
      <c r="C165">
        <v>19.840399999999999</v>
      </c>
      <c r="D165">
        <v>0.93899999999999995</v>
      </c>
      <c r="E165">
        <v>1.1281000000000001</v>
      </c>
      <c r="F165">
        <v>2.5000000000000001E-3</v>
      </c>
      <c r="G165">
        <v>8.8999999999999999E-3</v>
      </c>
      <c r="H165">
        <v>710</v>
      </c>
      <c r="I165">
        <v>1.0839000000000001</v>
      </c>
      <c r="J165">
        <v>1.0685</v>
      </c>
      <c r="K165">
        <v>1.0143</v>
      </c>
      <c r="L165" s="26">
        <v>4.19E-10</v>
      </c>
      <c r="M165" s="26">
        <v>4.0399999999999997E-14</v>
      </c>
      <c r="N165" s="26">
        <v>8.8200000000000003E-11</v>
      </c>
      <c r="O165" s="26">
        <v>7.7500000000000007E-12</v>
      </c>
      <c r="P165" s="26">
        <v>1E-14</v>
      </c>
      <c r="Q165" s="26">
        <v>7.7699999999999994E-12</v>
      </c>
    </row>
    <row r="166" spans="1:17" x14ac:dyDescent="0.3">
      <c r="A166" t="s">
        <v>210</v>
      </c>
      <c r="B166">
        <v>78.153800000000004</v>
      </c>
      <c r="C166">
        <v>19.858599999999999</v>
      </c>
      <c r="D166">
        <v>0.93979999999999997</v>
      </c>
      <c r="E166">
        <v>1.0359</v>
      </c>
      <c r="F166">
        <v>2.5000000000000001E-3</v>
      </c>
      <c r="G166">
        <v>9.4000000000000004E-3</v>
      </c>
      <c r="H166">
        <v>708</v>
      </c>
      <c r="I166">
        <v>0.9909</v>
      </c>
      <c r="J166">
        <v>1.0663</v>
      </c>
      <c r="K166">
        <v>0.92930000000000001</v>
      </c>
      <c r="L166" s="26">
        <v>4.19E-10</v>
      </c>
      <c r="M166" s="26">
        <v>4.23E-14</v>
      </c>
      <c r="N166" s="26">
        <v>8.8299999999999995E-11</v>
      </c>
      <c r="O166" s="26">
        <v>7.7500000000000007E-12</v>
      </c>
      <c r="P166" s="26">
        <v>1E-14</v>
      </c>
      <c r="Q166" s="26">
        <v>7.1299999999999997E-12</v>
      </c>
    </row>
    <row r="167" spans="1:17" x14ac:dyDescent="0.3">
      <c r="A167" t="s">
        <v>211</v>
      </c>
      <c r="B167">
        <v>78.181299999999993</v>
      </c>
      <c r="C167">
        <v>19.787500000000001</v>
      </c>
      <c r="D167">
        <v>0.9395</v>
      </c>
      <c r="E167">
        <v>1.0807</v>
      </c>
      <c r="F167">
        <v>2E-3</v>
      </c>
      <c r="G167">
        <v>8.9999999999999993E-3</v>
      </c>
      <c r="H167">
        <v>717</v>
      </c>
      <c r="I167">
        <v>1.0347999999999999</v>
      </c>
      <c r="J167">
        <v>1.1526000000000001</v>
      </c>
      <c r="K167">
        <v>0.89780000000000004</v>
      </c>
      <c r="L167" s="26">
        <v>4.2E-10</v>
      </c>
      <c r="M167" s="26">
        <v>4.08E-14</v>
      </c>
      <c r="N167" s="26">
        <v>8.8000000000000006E-11</v>
      </c>
      <c r="O167" s="26">
        <v>7.7500000000000007E-12</v>
      </c>
      <c r="P167" s="26">
        <v>8.8499999999999998E-15</v>
      </c>
      <c r="Q167" s="26">
        <v>7.4400000000000006E-12</v>
      </c>
    </row>
    <row r="168" spans="1:17" x14ac:dyDescent="0.3">
      <c r="A168" t="s">
        <v>212</v>
      </c>
      <c r="B168">
        <v>78.131200000000007</v>
      </c>
      <c r="C168">
        <v>19.775500000000001</v>
      </c>
      <c r="D168">
        <v>0.9395</v>
      </c>
      <c r="E168">
        <v>1.1418999999999999</v>
      </c>
      <c r="F168">
        <v>2.8E-3</v>
      </c>
      <c r="G168">
        <v>9.1000000000000004E-3</v>
      </c>
      <c r="H168">
        <v>722</v>
      </c>
      <c r="I168">
        <v>1.0969</v>
      </c>
      <c r="J168">
        <v>1.1532</v>
      </c>
      <c r="K168">
        <v>0.95120000000000005</v>
      </c>
      <c r="L168" s="26">
        <v>4.19E-10</v>
      </c>
      <c r="M168" s="26">
        <v>4.1100000000000003E-14</v>
      </c>
      <c r="N168" s="26">
        <v>8.8000000000000006E-11</v>
      </c>
      <c r="O168" s="26">
        <v>7.7599999999999992E-12</v>
      </c>
      <c r="P168" s="26">
        <v>1.06E-14</v>
      </c>
      <c r="Q168" s="26">
        <v>7.8699999999999994E-12</v>
      </c>
    </row>
    <row r="169" spans="1:17" x14ac:dyDescent="0.3">
      <c r="A169" t="s">
        <v>213</v>
      </c>
      <c r="B169">
        <v>78.111900000000006</v>
      </c>
      <c r="C169">
        <v>19.745100000000001</v>
      </c>
      <c r="D169">
        <v>0.93940000000000001</v>
      </c>
      <c r="E169">
        <v>1.1919</v>
      </c>
      <c r="F169">
        <v>2.3999999999999998E-3</v>
      </c>
      <c r="G169">
        <v>9.2999999999999992E-3</v>
      </c>
      <c r="H169">
        <v>711</v>
      </c>
      <c r="I169">
        <v>1.1471</v>
      </c>
      <c r="J169">
        <v>1.169</v>
      </c>
      <c r="K169">
        <v>0.98129999999999995</v>
      </c>
      <c r="L169" s="26">
        <v>4.2E-10</v>
      </c>
      <c r="M169" s="26">
        <v>4.1800000000000002E-14</v>
      </c>
      <c r="N169" s="26">
        <v>8.7799999999999997E-11</v>
      </c>
      <c r="O169" s="26">
        <v>7.7599999999999992E-12</v>
      </c>
      <c r="P169" s="26">
        <v>9.8300000000000008E-15</v>
      </c>
      <c r="Q169" s="26">
        <v>8.21E-12</v>
      </c>
    </row>
    <row r="170" spans="1:17" x14ac:dyDescent="0.3">
      <c r="A170" t="s">
        <v>214</v>
      </c>
      <c r="B170">
        <v>78.102999999999994</v>
      </c>
      <c r="C170">
        <v>19.700199999999999</v>
      </c>
      <c r="D170">
        <v>0.93959999999999999</v>
      </c>
      <c r="E170">
        <v>1.2456</v>
      </c>
      <c r="F170">
        <v>2.7000000000000001E-3</v>
      </c>
      <c r="G170">
        <v>8.9999999999999993E-3</v>
      </c>
      <c r="H170">
        <v>720</v>
      </c>
      <c r="I170">
        <v>1.2005999999999999</v>
      </c>
      <c r="J170">
        <v>1.2214</v>
      </c>
      <c r="K170">
        <v>0.98299999999999998</v>
      </c>
      <c r="L170" s="26">
        <v>4.19E-10</v>
      </c>
      <c r="M170" s="26">
        <v>4.08E-14</v>
      </c>
      <c r="N170" s="26">
        <v>8.76E-11</v>
      </c>
      <c r="O170" s="26">
        <v>7.7599999999999992E-12</v>
      </c>
      <c r="P170" s="26">
        <v>1.06E-14</v>
      </c>
      <c r="Q170" s="26">
        <v>8.5799999999999994E-12</v>
      </c>
    </row>
    <row r="171" spans="1:17" x14ac:dyDescent="0.3">
      <c r="A171" t="s">
        <v>215</v>
      </c>
      <c r="B171">
        <v>78.111199999999997</v>
      </c>
      <c r="C171">
        <v>19.633500000000002</v>
      </c>
      <c r="D171">
        <v>0.93910000000000005</v>
      </c>
      <c r="E171">
        <v>1.3036000000000001</v>
      </c>
      <c r="F171">
        <v>2.8999999999999998E-3</v>
      </c>
      <c r="G171">
        <v>9.7000000000000003E-3</v>
      </c>
      <c r="H171">
        <v>698</v>
      </c>
      <c r="I171">
        <v>1.2583</v>
      </c>
      <c r="J171">
        <v>1.2786999999999999</v>
      </c>
      <c r="K171">
        <v>0.98409999999999997</v>
      </c>
      <c r="L171" s="26">
        <v>4.19E-10</v>
      </c>
      <c r="M171" s="26">
        <v>4.3599999999999998E-14</v>
      </c>
      <c r="N171" s="26">
        <v>8.7199999999999994E-11</v>
      </c>
      <c r="O171" s="26">
        <v>7.7500000000000007E-12</v>
      </c>
      <c r="P171" s="26">
        <v>1.1200000000000001E-14</v>
      </c>
      <c r="Q171" s="26">
        <v>8.9700000000000008E-12</v>
      </c>
    </row>
    <row r="172" spans="1:17" x14ac:dyDescent="0.3">
      <c r="A172" t="s">
        <v>216</v>
      </c>
      <c r="B172">
        <v>78.107399999999998</v>
      </c>
      <c r="C172">
        <v>19.5746</v>
      </c>
      <c r="D172">
        <v>0.93969999999999998</v>
      </c>
      <c r="E172">
        <v>1.3666</v>
      </c>
      <c r="F172">
        <v>2.8999999999999998E-3</v>
      </c>
      <c r="G172">
        <v>8.8000000000000005E-3</v>
      </c>
      <c r="H172">
        <v>722</v>
      </c>
      <c r="I172">
        <v>1.3217000000000001</v>
      </c>
      <c r="J172">
        <v>1.3455999999999999</v>
      </c>
      <c r="K172">
        <v>0.98219999999999996</v>
      </c>
      <c r="L172" s="26">
        <v>4.2E-10</v>
      </c>
      <c r="M172" s="26">
        <v>4E-14</v>
      </c>
      <c r="N172" s="26">
        <v>8.7100000000000002E-11</v>
      </c>
      <c r="O172" s="26">
        <v>7.7599999999999992E-12</v>
      </c>
      <c r="P172" s="26">
        <v>1.11E-14</v>
      </c>
      <c r="Q172" s="26">
        <v>9.4199999999999998E-12</v>
      </c>
    </row>
    <row r="173" spans="1:17" x14ac:dyDescent="0.3">
      <c r="A173" t="s">
        <v>217</v>
      </c>
      <c r="B173">
        <v>78.104500000000002</v>
      </c>
      <c r="C173">
        <v>19.521100000000001</v>
      </c>
      <c r="D173">
        <v>0.9395</v>
      </c>
      <c r="E173">
        <v>1.4224000000000001</v>
      </c>
      <c r="F173">
        <v>3.0999999999999999E-3</v>
      </c>
      <c r="G173">
        <v>9.2999999999999992E-3</v>
      </c>
      <c r="H173">
        <v>705</v>
      </c>
      <c r="I173">
        <v>1.3775999999999999</v>
      </c>
      <c r="J173">
        <v>1.3946000000000001</v>
      </c>
      <c r="K173">
        <v>0.98780000000000001</v>
      </c>
      <c r="L173" s="26">
        <v>4.2E-10</v>
      </c>
      <c r="M173" s="26">
        <v>4.1999999999999998E-14</v>
      </c>
      <c r="N173" s="26">
        <v>8.6900000000000005E-11</v>
      </c>
      <c r="O173" s="26">
        <v>7.7599999999999992E-12</v>
      </c>
      <c r="P173" s="26">
        <v>1.17E-14</v>
      </c>
      <c r="Q173" s="26">
        <v>9.7999999999999994E-12</v>
      </c>
    </row>
    <row r="174" spans="1:17" x14ac:dyDescent="0.3">
      <c r="A174" t="s">
        <v>218</v>
      </c>
      <c r="B174">
        <v>78.104799999999997</v>
      </c>
      <c r="C174">
        <v>19.463699999999999</v>
      </c>
      <c r="D174">
        <v>0.93959999999999999</v>
      </c>
      <c r="E174">
        <v>1.4796</v>
      </c>
      <c r="F174">
        <v>2.3999999999999998E-3</v>
      </c>
      <c r="G174">
        <v>9.9000000000000008E-3</v>
      </c>
      <c r="H174">
        <v>713</v>
      </c>
      <c r="I174">
        <v>1.4348000000000001</v>
      </c>
      <c r="J174">
        <v>1.4543999999999999</v>
      </c>
      <c r="K174">
        <v>0.98650000000000004</v>
      </c>
      <c r="L174" s="26">
        <v>4.2E-10</v>
      </c>
      <c r="M174" s="26">
        <v>4.4199999999999997E-14</v>
      </c>
      <c r="N174" s="26">
        <v>8.6600000000000003E-11</v>
      </c>
      <c r="O174" s="26">
        <v>7.7599999999999992E-12</v>
      </c>
      <c r="P174" s="26">
        <v>1.04E-14</v>
      </c>
      <c r="Q174" s="26">
        <v>1.0199999999999999E-11</v>
      </c>
    </row>
    <row r="175" spans="1:17" x14ac:dyDescent="0.3">
      <c r="A175" t="s">
        <v>219</v>
      </c>
      <c r="B175">
        <v>78.098699999999994</v>
      </c>
      <c r="C175">
        <v>19.4192</v>
      </c>
      <c r="D175">
        <v>0.93889999999999996</v>
      </c>
      <c r="E175">
        <v>1.5315000000000001</v>
      </c>
      <c r="F175">
        <v>2.3E-3</v>
      </c>
      <c r="G175">
        <v>9.4000000000000004E-3</v>
      </c>
      <c r="H175">
        <v>721</v>
      </c>
      <c r="I175">
        <v>1.4866999999999999</v>
      </c>
      <c r="J175">
        <v>1.5003</v>
      </c>
      <c r="K175">
        <v>0.9909</v>
      </c>
      <c r="L175" s="26">
        <v>4.2E-10</v>
      </c>
      <c r="M175" s="26">
        <v>4.2199999999999999E-14</v>
      </c>
      <c r="N175" s="26">
        <v>8.6399999999999994E-11</v>
      </c>
      <c r="O175" s="26">
        <v>7.7500000000000007E-12</v>
      </c>
      <c r="P175" s="26">
        <v>9.9200000000000003E-15</v>
      </c>
      <c r="Q175" s="26">
        <v>1.0499999999999999E-11</v>
      </c>
    </row>
    <row r="176" spans="1:17" x14ac:dyDescent="0.3">
      <c r="A176" t="s">
        <v>220</v>
      </c>
      <c r="B176">
        <v>78.087000000000003</v>
      </c>
      <c r="C176">
        <v>19.380700000000001</v>
      </c>
      <c r="D176">
        <v>0.93869999999999998</v>
      </c>
      <c r="E176">
        <v>1.5812999999999999</v>
      </c>
      <c r="F176">
        <v>2.7000000000000001E-3</v>
      </c>
      <c r="G176">
        <v>9.7000000000000003E-3</v>
      </c>
      <c r="H176">
        <v>705</v>
      </c>
      <c r="I176">
        <v>1.5369999999999999</v>
      </c>
      <c r="J176">
        <v>1.5291999999999999</v>
      </c>
      <c r="K176">
        <v>1.0051000000000001</v>
      </c>
      <c r="L176" s="26">
        <v>4.2E-10</v>
      </c>
      <c r="M176" s="26">
        <v>4.3300000000000002E-14</v>
      </c>
      <c r="N176" s="26">
        <v>8.6300000000000002E-11</v>
      </c>
      <c r="O176" s="26">
        <v>7.7599999999999992E-12</v>
      </c>
      <c r="P176" s="26">
        <v>1.09E-14</v>
      </c>
      <c r="Q176" s="26">
        <v>1.0899999999999999E-11</v>
      </c>
    </row>
    <row r="177" spans="1:17" x14ac:dyDescent="0.3">
      <c r="A177" t="s">
        <v>221</v>
      </c>
      <c r="B177">
        <v>78.079400000000007</v>
      </c>
      <c r="C177">
        <v>19.349</v>
      </c>
      <c r="D177">
        <v>0.93879999999999997</v>
      </c>
      <c r="E177">
        <v>1.62</v>
      </c>
      <c r="F177">
        <v>2.5999999999999999E-3</v>
      </c>
      <c r="G177">
        <v>1.01E-2</v>
      </c>
      <c r="H177">
        <v>713</v>
      </c>
      <c r="I177">
        <v>1.5760000000000001</v>
      </c>
      <c r="J177">
        <v>1.5569999999999999</v>
      </c>
      <c r="K177">
        <v>1.0122</v>
      </c>
      <c r="L177" s="26">
        <v>4.2E-10</v>
      </c>
      <c r="M177" s="26">
        <v>4.5099999999999998E-14</v>
      </c>
      <c r="N177" s="26">
        <v>8.6100000000000005E-11</v>
      </c>
      <c r="O177" s="26">
        <v>7.7599999999999992E-12</v>
      </c>
      <c r="P177" s="26">
        <v>1.1E-14</v>
      </c>
      <c r="Q177" s="26">
        <v>1.1200000000000001E-11</v>
      </c>
    </row>
    <row r="178" spans="1:17" x14ac:dyDescent="0.3">
      <c r="A178" t="s">
        <v>222</v>
      </c>
      <c r="B178">
        <v>78.068200000000004</v>
      </c>
      <c r="C178">
        <v>19.324000000000002</v>
      </c>
      <c r="D178">
        <v>0.93889999999999996</v>
      </c>
      <c r="E178">
        <v>1.6572</v>
      </c>
      <c r="F178">
        <v>2.5000000000000001E-3</v>
      </c>
      <c r="G178">
        <v>9.1999999999999998E-3</v>
      </c>
      <c r="H178">
        <v>719</v>
      </c>
      <c r="I178">
        <v>1.6133999999999999</v>
      </c>
      <c r="J178">
        <v>1.5871999999999999</v>
      </c>
      <c r="K178">
        <v>1.0165</v>
      </c>
      <c r="L178" s="26">
        <v>4.2E-10</v>
      </c>
      <c r="M178" s="26">
        <v>4.1399999999999999E-14</v>
      </c>
      <c r="N178" s="26">
        <v>8.6E-11</v>
      </c>
      <c r="O178" s="26">
        <v>7.7599999999999992E-12</v>
      </c>
      <c r="P178" s="26">
        <v>1.04E-14</v>
      </c>
      <c r="Q178" s="26">
        <v>1.1400000000000001E-11</v>
      </c>
    </row>
    <row r="179" spans="1:17" x14ac:dyDescent="0.3">
      <c r="A179" t="s">
        <v>223</v>
      </c>
      <c r="B179">
        <v>78.064400000000006</v>
      </c>
      <c r="C179">
        <v>19.2987</v>
      </c>
      <c r="D179">
        <v>0.9385</v>
      </c>
      <c r="E179">
        <v>1.6858</v>
      </c>
      <c r="F179">
        <v>2.8E-3</v>
      </c>
      <c r="G179">
        <v>9.7999999999999997E-3</v>
      </c>
      <c r="H179">
        <v>702</v>
      </c>
      <c r="I179">
        <v>1.6415</v>
      </c>
      <c r="J179">
        <v>1.6024</v>
      </c>
      <c r="K179">
        <v>1.0244</v>
      </c>
      <c r="L179" s="26">
        <v>4.19E-10</v>
      </c>
      <c r="M179" s="26">
        <v>4.3900000000000001E-14</v>
      </c>
      <c r="N179" s="26">
        <v>8.5899999999999995E-11</v>
      </c>
      <c r="O179" s="26">
        <v>7.7500000000000007E-12</v>
      </c>
      <c r="P179" s="26">
        <v>1.13E-14</v>
      </c>
      <c r="Q179" s="26">
        <v>1.1600000000000001E-11</v>
      </c>
    </row>
    <row r="180" spans="1:17" x14ac:dyDescent="0.3">
      <c r="A180" t="s">
        <v>224</v>
      </c>
      <c r="B180">
        <v>78.064400000000006</v>
      </c>
      <c r="C180">
        <v>19.2698</v>
      </c>
      <c r="D180">
        <v>0.93869999999999998</v>
      </c>
      <c r="E180">
        <v>1.7144999999999999</v>
      </c>
      <c r="F180">
        <v>2.8999999999999998E-3</v>
      </c>
      <c r="G180">
        <v>9.7000000000000003E-3</v>
      </c>
      <c r="H180">
        <v>709</v>
      </c>
      <c r="I180">
        <v>1.6707000000000001</v>
      </c>
      <c r="J180">
        <v>1.6366000000000001</v>
      </c>
      <c r="K180">
        <v>1.0208999999999999</v>
      </c>
      <c r="L180" s="26">
        <v>4.2E-10</v>
      </c>
      <c r="M180" s="26">
        <v>4.3400000000000003E-14</v>
      </c>
      <c r="N180" s="26">
        <v>8.5800000000000004E-11</v>
      </c>
      <c r="O180" s="26">
        <v>7.7599999999999992E-12</v>
      </c>
      <c r="P180" s="26">
        <v>1.1400000000000001E-14</v>
      </c>
      <c r="Q180" s="26">
        <v>1.1800000000000001E-11</v>
      </c>
    </row>
    <row r="181" spans="1:17" x14ac:dyDescent="0.3">
      <c r="A181" t="s">
        <v>225</v>
      </c>
      <c r="B181">
        <v>78.064599999999999</v>
      </c>
      <c r="C181">
        <v>19.246300000000002</v>
      </c>
      <c r="D181">
        <v>0.93820000000000003</v>
      </c>
      <c r="E181">
        <v>1.7393000000000001</v>
      </c>
      <c r="F181">
        <v>2E-3</v>
      </c>
      <c r="G181">
        <v>9.5999999999999992E-3</v>
      </c>
      <c r="H181">
        <v>720</v>
      </c>
      <c r="I181">
        <v>1.6960999999999999</v>
      </c>
      <c r="J181">
        <v>1.6609</v>
      </c>
      <c r="K181">
        <v>1.0210999999999999</v>
      </c>
      <c r="L181" s="26">
        <v>4.2E-10</v>
      </c>
      <c r="M181" s="26">
        <v>4.2799999999999998E-14</v>
      </c>
      <c r="N181" s="26">
        <v>8.5699999999999999E-11</v>
      </c>
      <c r="O181" s="26">
        <v>7.7500000000000007E-12</v>
      </c>
      <c r="P181" s="26">
        <v>9.5299999999999998E-15</v>
      </c>
      <c r="Q181" s="26">
        <v>1.2000000000000001E-11</v>
      </c>
    </row>
    <row r="182" spans="1:17" x14ac:dyDescent="0.3">
      <c r="A182" t="s">
        <v>226</v>
      </c>
      <c r="B182">
        <v>78.060100000000006</v>
      </c>
      <c r="C182">
        <v>19.2241</v>
      </c>
      <c r="D182">
        <v>0.93859999999999999</v>
      </c>
      <c r="E182">
        <v>1.7653000000000001</v>
      </c>
      <c r="F182">
        <v>2.5000000000000001E-3</v>
      </c>
      <c r="G182">
        <v>9.4999999999999998E-3</v>
      </c>
      <c r="H182">
        <v>705</v>
      </c>
      <c r="I182">
        <v>1.7214</v>
      </c>
      <c r="J182">
        <v>1.6866000000000001</v>
      </c>
      <c r="K182">
        <v>1.0206999999999999</v>
      </c>
      <c r="L182" s="26">
        <v>4.2E-10</v>
      </c>
      <c r="M182" s="26">
        <v>4.2600000000000003E-14</v>
      </c>
      <c r="N182" s="26">
        <v>8.5599999999999994E-11</v>
      </c>
      <c r="O182" s="26">
        <v>7.7599999999999992E-12</v>
      </c>
      <c r="P182" s="26">
        <v>1.06E-14</v>
      </c>
      <c r="Q182" s="26">
        <v>1.2200000000000001E-11</v>
      </c>
    </row>
    <row r="183" spans="1:17" x14ac:dyDescent="0.3">
      <c r="A183" t="s">
        <v>227</v>
      </c>
      <c r="B183">
        <v>78.063000000000002</v>
      </c>
      <c r="C183">
        <v>19.1935</v>
      </c>
      <c r="D183">
        <v>0.93859999999999999</v>
      </c>
      <c r="E183">
        <v>1.7928999999999999</v>
      </c>
      <c r="F183">
        <v>2.3999999999999998E-3</v>
      </c>
      <c r="G183">
        <v>9.5999999999999992E-3</v>
      </c>
      <c r="H183">
        <v>710</v>
      </c>
      <c r="I183">
        <v>1.7485999999999999</v>
      </c>
      <c r="J183">
        <v>1.7150000000000001</v>
      </c>
      <c r="K183">
        <v>1.0196000000000001</v>
      </c>
      <c r="L183" s="26">
        <v>4.2E-10</v>
      </c>
      <c r="M183" s="26">
        <v>4.3100000000000001E-14</v>
      </c>
      <c r="N183" s="26">
        <v>8.5399999999999997E-11</v>
      </c>
      <c r="O183" s="26">
        <v>7.7500000000000007E-12</v>
      </c>
      <c r="P183" s="26">
        <v>1.04E-14</v>
      </c>
      <c r="Q183" s="26">
        <v>1.23E-11</v>
      </c>
    </row>
    <row r="184" spans="1:17" x14ac:dyDescent="0.3">
      <c r="A184" t="s">
        <v>228</v>
      </c>
      <c r="B184">
        <v>78.0642</v>
      </c>
      <c r="C184">
        <v>19.162600000000001</v>
      </c>
      <c r="D184">
        <v>0.9385</v>
      </c>
      <c r="E184">
        <v>1.8228</v>
      </c>
      <c r="F184">
        <v>2.3E-3</v>
      </c>
      <c r="G184">
        <v>9.5999999999999992E-3</v>
      </c>
      <c r="H184">
        <v>717</v>
      </c>
      <c r="I184">
        <v>1.7790999999999999</v>
      </c>
      <c r="J184">
        <v>1.7504</v>
      </c>
      <c r="K184">
        <v>1.0164</v>
      </c>
      <c r="L184" s="26">
        <v>4.2E-10</v>
      </c>
      <c r="M184" s="26">
        <v>4.2899999999999999E-14</v>
      </c>
      <c r="N184" s="26">
        <v>8.5300000000000005E-11</v>
      </c>
      <c r="O184" s="26">
        <v>7.7500000000000007E-12</v>
      </c>
      <c r="P184" s="26">
        <v>1.0099999999999999E-14</v>
      </c>
      <c r="Q184" s="26">
        <v>1.26E-11</v>
      </c>
    </row>
    <row r="185" spans="1:17" x14ac:dyDescent="0.3">
      <c r="A185" t="s">
        <v>229</v>
      </c>
      <c r="B185">
        <v>78.063900000000004</v>
      </c>
      <c r="C185">
        <v>19.1371</v>
      </c>
      <c r="D185">
        <v>0.93889999999999996</v>
      </c>
      <c r="E185">
        <v>1.8475999999999999</v>
      </c>
      <c r="F185">
        <v>2.7000000000000001E-3</v>
      </c>
      <c r="G185">
        <v>9.7000000000000003E-3</v>
      </c>
      <c r="H185">
        <v>705</v>
      </c>
      <c r="I185">
        <v>1.8032999999999999</v>
      </c>
      <c r="J185">
        <v>1.7717000000000001</v>
      </c>
      <c r="K185">
        <v>1.0179</v>
      </c>
      <c r="L185" s="26">
        <v>4.2E-10</v>
      </c>
      <c r="M185" s="26">
        <v>4.3499999999999998E-14</v>
      </c>
      <c r="N185" s="26">
        <v>8.52E-11</v>
      </c>
      <c r="O185" s="26">
        <v>7.7599999999999992E-12</v>
      </c>
      <c r="P185" s="26">
        <v>1.13E-14</v>
      </c>
      <c r="Q185" s="26">
        <v>1.27E-11</v>
      </c>
    </row>
    <row r="186" spans="1:17" x14ac:dyDescent="0.3">
      <c r="A186" t="s">
        <v>230</v>
      </c>
      <c r="B186">
        <v>78.068899999999999</v>
      </c>
      <c r="C186">
        <v>19.096399999999999</v>
      </c>
      <c r="D186">
        <v>0.93920000000000003</v>
      </c>
      <c r="E186">
        <v>1.8834</v>
      </c>
      <c r="F186">
        <v>2E-3</v>
      </c>
      <c r="G186">
        <v>9.9000000000000008E-3</v>
      </c>
      <c r="H186">
        <v>711</v>
      </c>
      <c r="I186">
        <v>1.8395999999999999</v>
      </c>
      <c r="J186">
        <v>1.8152999999999999</v>
      </c>
      <c r="K186">
        <v>1.0134000000000001</v>
      </c>
      <c r="L186" s="26">
        <v>4.19E-10</v>
      </c>
      <c r="M186" s="26">
        <v>4.4199999999999997E-14</v>
      </c>
      <c r="N186" s="26">
        <v>8.5000000000000004E-11</v>
      </c>
      <c r="O186" s="26">
        <v>7.7599999999999992E-12</v>
      </c>
      <c r="P186" s="26">
        <v>9.7700000000000006E-15</v>
      </c>
      <c r="Q186" s="26">
        <v>1.3E-11</v>
      </c>
    </row>
    <row r="187" spans="1:17" x14ac:dyDescent="0.3">
      <c r="A187" t="s">
        <v>231</v>
      </c>
      <c r="B187">
        <v>78.073300000000003</v>
      </c>
      <c r="C187">
        <v>19.058299999999999</v>
      </c>
      <c r="D187">
        <v>0.93910000000000005</v>
      </c>
      <c r="E187">
        <v>1.9160999999999999</v>
      </c>
      <c r="F187">
        <v>3.5000000000000001E-3</v>
      </c>
      <c r="G187">
        <v>9.7999999999999997E-3</v>
      </c>
      <c r="H187">
        <v>714</v>
      </c>
      <c r="I187">
        <v>1.8714999999999999</v>
      </c>
      <c r="J187">
        <v>1.8512</v>
      </c>
      <c r="K187">
        <v>1.0109999999999999</v>
      </c>
      <c r="L187" s="26">
        <v>4.19E-10</v>
      </c>
      <c r="M187" s="26">
        <v>4.3499999999999998E-14</v>
      </c>
      <c r="N187" s="26">
        <v>8.4700000000000002E-11</v>
      </c>
      <c r="O187" s="26">
        <v>7.7400000000000005E-12</v>
      </c>
      <c r="P187" s="26">
        <v>1.2900000000000001E-14</v>
      </c>
      <c r="Q187" s="26">
        <v>1.32E-11</v>
      </c>
    </row>
    <row r="188" spans="1:17" x14ac:dyDescent="0.3">
      <c r="A188" t="s">
        <v>232</v>
      </c>
      <c r="B188">
        <v>78.070999999999998</v>
      </c>
      <c r="C188">
        <v>19.0304</v>
      </c>
      <c r="D188">
        <v>0.93869999999999998</v>
      </c>
      <c r="E188">
        <v>1.9483999999999999</v>
      </c>
      <c r="F188">
        <v>2E-3</v>
      </c>
      <c r="G188">
        <v>9.5999999999999992E-3</v>
      </c>
      <c r="H188">
        <v>702</v>
      </c>
      <c r="I188">
        <v>1.9040999999999999</v>
      </c>
      <c r="J188">
        <v>1.8786</v>
      </c>
      <c r="K188">
        <v>1.0136000000000001</v>
      </c>
      <c r="L188" s="26">
        <v>4.19E-10</v>
      </c>
      <c r="M188" s="26">
        <v>4.2799999999999998E-14</v>
      </c>
      <c r="N188" s="26">
        <v>8.4599999999999997E-11</v>
      </c>
      <c r="O188" s="26">
        <v>7.7500000000000007E-12</v>
      </c>
      <c r="P188" s="26">
        <v>9.6300000000000007E-15</v>
      </c>
      <c r="Q188" s="26">
        <v>1.34E-11</v>
      </c>
    </row>
    <row r="189" spans="1:17" x14ac:dyDescent="0.3">
      <c r="A189" t="s">
        <v>233</v>
      </c>
      <c r="B189">
        <v>78.0715</v>
      </c>
      <c r="C189">
        <v>18.997299999999999</v>
      </c>
      <c r="D189">
        <v>0.93889999999999996</v>
      </c>
      <c r="E189">
        <v>1.9802</v>
      </c>
      <c r="F189">
        <v>2.7000000000000001E-3</v>
      </c>
      <c r="G189">
        <v>9.2999999999999992E-3</v>
      </c>
      <c r="H189">
        <v>709</v>
      </c>
      <c r="I189">
        <v>1.9362999999999999</v>
      </c>
      <c r="J189">
        <v>1.9148000000000001</v>
      </c>
      <c r="K189">
        <v>1.0112000000000001</v>
      </c>
      <c r="L189" s="26">
        <v>4.19E-10</v>
      </c>
      <c r="M189" s="26">
        <v>4.1899999999999997E-14</v>
      </c>
      <c r="N189" s="26">
        <v>8.4500000000000005E-11</v>
      </c>
      <c r="O189" s="26">
        <v>7.7500000000000007E-12</v>
      </c>
      <c r="P189" s="26">
        <v>1.1200000000000001E-14</v>
      </c>
      <c r="Q189" s="26">
        <v>1.36E-11</v>
      </c>
    </row>
    <row r="190" spans="1:17" x14ac:dyDescent="0.3">
      <c r="A190" t="s">
        <v>234</v>
      </c>
      <c r="B190">
        <v>78.072800000000001</v>
      </c>
      <c r="C190">
        <v>18.9602</v>
      </c>
      <c r="D190">
        <v>0.9385</v>
      </c>
      <c r="E190">
        <v>2.0173000000000001</v>
      </c>
      <c r="F190">
        <v>2.8E-3</v>
      </c>
      <c r="G190">
        <v>8.3999999999999995E-3</v>
      </c>
      <c r="H190">
        <v>719</v>
      </c>
      <c r="I190">
        <v>1.9732000000000001</v>
      </c>
      <c r="J190">
        <v>1.9533</v>
      </c>
      <c r="K190">
        <v>1.0102</v>
      </c>
      <c r="L190" s="26">
        <v>4.19E-10</v>
      </c>
      <c r="M190" s="26">
        <v>3.8299999999999998E-14</v>
      </c>
      <c r="N190" s="26">
        <v>8.4299999999999996E-11</v>
      </c>
      <c r="O190" s="26">
        <v>7.7400000000000005E-12</v>
      </c>
      <c r="P190" s="26">
        <v>1.1200000000000001E-14</v>
      </c>
      <c r="Q190" s="26">
        <v>1.39E-11</v>
      </c>
    </row>
    <row r="191" spans="1:17" x14ac:dyDescent="0.3">
      <c r="A191" t="s">
        <v>235</v>
      </c>
      <c r="B191">
        <v>78.076999999999998</v>
      </c>
      <c r="C191">
        <v>18.920500000000001</v>
      </c>
      <c r="D191">
        <v>0.93920000000000003</v>
      </c>
      <c r="E191">
        <v>2.052</v>
      </c>
      <c r="F191">
        <v>2.7000000000000001E-3</v>
      </c>
      <c r="G191">
        <v>8.6E-3</v>
      </c>
      <c r="H191">
        <v>709</v>
      </c>
      <c r="I191">
        <v>2.0074999999999998</v>
      </c>
      <c r="J191">
        <v>1.9893000000000001</v>
      </c>
      <c r="K191">
        <v>1.0092000000000001</v>
      </c>
      <c r="L191" s="26">
        <v>4.19E-10</v>
      </c>
      <c r="M191" s="26">
        <v>3.8800000000000003E-14</v>
      </c>
      <c r="N191" s="26">
        <v>8.4099999999999999E-11</v>
      </c>
      <c r="O191" s="26">
        <v>7.7500000000000007E-12</v>
      </c>
      <c r="P191" s="26">
        <v>1.1E-14</v>
      </c>
      <c r="Q191" s="26">
        <v>1.41E-11</v>
      </c>
    </row>
    <row r="192" spans="1:17" x14ac:dyDescent="0.3">
      <c r="A192" t="s">
        <v>236</v>
      </c>
      <c r="B192">
        <v>78.089100000000002</v>
      </c>
      <c r="C192">
        <v>18.871600000000001</v>
      </c>
      <c r="D192">
        <v>0.93869999999999998</v>
      </c>
      <c r="E192">
        <v>2.0897000000000001</v>
      </c>
      <c r="F192">
        <v>1.6999999999999999E-3</v>
      </c>
      <c r="G192">
        <v>9.1999999999999998E-3</v>
      </c>
      <c r="H192">
        <v>715</v>
      </c>
      <c r="I192">
        <v>2.0449000000000002</v>
      </c>
      <c r="J192">
        <v>2.0442999999999998</v>
      </c>
      <c r="K192">
        <v>1.0003</v>
      </c>
      <c r="L192" s="26">
        <v>4.2E-10</v>
      </c>
      <c r="M192" s="26">
        <v>4.1199999999999997E-14</v>
      </c>
      <c r="N192" s="26">
        <v>8.3999999999999994E-11</v>
      </c>
      <c r="O192" s="26">
        <v>7.7500000000000007E-12</v>
      </c>
      <c r="P192" s="26">
        <v>9.0699999999999995E-15</v>
      </c>
      <c r="Q192" s="26">
        <v>1.44E-11</v>
      </c>
    </row>
    <row r="193" spans="1:17" x14ac:dyDescent="0.3">
      <c r="A193" t="s">
        <v>237</v>
      </c>
      <c r="B193">
        <v>78.092100000000002</v>
      </c>
      <c r="C193">
        <v>18.828600000000002</v>
      </c>
      <c r="D193">
        <v>0.93859999999999999</v>
      </c>
      <c r="E193">
        <v>2.1284999999999998</v>
      </c>
      <c r="F193">
        <v>3.2000000000000002E-3</v>
      </c>
      <c r="G193">
        <v>8.9999999999999993E-3</v>
      </c>
      <c r="H193">
        <v>702</v>
      </c>
      <c r="I193">
        <v>2.0834999999999999</v>
      </c>
      <c r="J193">
        <v>2.0836000000000001</v>
      </c>
      <c r="K193">
        <v>1</v>
      </c>
      <c r="L193" s="26">
        <v>4.19E-10</v>
      </c>
      <c r="M193" s="26">
        <v>4.0699999999999999E-14</v>
      </c>
      <c r="N193" s="26">
        <v>8.3700000000000006E-11</v>
      </c>
      <c r="O193" s="26">
        <v>7.7500000000000007E-12</v>
      </c>
      <c r="P193" s="26">
        <v>1.23E-14</v>
      </c>
      <c r="Q193" s="26">
        <v>1.46E-11</v>
      </c>
    </row>
    <row r="194" spans="1:17" x14ac:dyDescent="0.3">
      <c r="A194" t="s">
        <v>238</v>
      </c>
      <c r="B194">
        <v>78.100999999999999</v>
      </c>
      <c r="C194">
        <v>18.7759</v>
      </c>
      <c r="D194">
        <v>0.93920000000000003</v>
      </c>
      <c r="E194">
        <v>2.1718999999999999</v>
      </c>
      <c r="F194">
        <v>2.5000000000000001E-3</v>
      </c>
      <c r="G194">
        <v>9.4999999999999998E-3</v>
      </c>
      <c r="H194">
        <v>721</v>
      </c>
      <c r="I194">
        <v>2.1271</v>
      </c>
      <c r="J194">
        <v>2.1396999999999999</v>
      </c>
      <c r="K194">
        <v>0.99409999999999998</v>
      </c>
      <c r="L194" s="26">
        <v>4.2E-10</v>
      </c>
      <c r="M194" s="26">
        <v>4.2199999999999999E-14</v>
      </c>
      <c r="N194" s="26">
        <v>8.3499999999999996E-11</v>
      </c>
      <c r="O194" s="26">
        <v>7.7500000000000007E-12</v>
      </c>
      <c r="P194" s="26">
        <v>1.1E-14</v>
      </c>
      <c r="Q194" s="26">
        <v>1.4900000000000002E-11</v>
      </c>
    </row>
    <row r="195" spans="1:17" x14ac:dyDescent="0.3">
      <c r="A195" t="s">
        <v>239</v>
      </c>
      <c r="B195">
        <v>78.111800000000002</v>
      </c>
      <c r="C195">
        <v>18.720199999999998</v>
      </c>
      <c r="D195">
        <v>0.93930000000000002</v>
      </c>
      <c r="E195">
        <v>2.2160000000000002</v>
      </c>
      <c r="F195">
        <v>2.7000000000000001E-3</v>
      </c>
      <c r="G195">
        <v>0.01</v>
      </c>
      <c r="H195">
        <v>716</v>
      </c>
      <c r="I195">
        <v>2.1709000000000001</v>
      </c>
      <c r="J195">
        <v>2.1996000000000002</v>
      </c>
      <c r="K195">
        <v>0.9869</v>
      </c>
      <c r="L195" s="26">
        <v>4.2E-10</v>
      </c>
      <c r="M195" s="26">
        <v>4.45E-14</v>
      </c>
      <c r="N195" s="26">
        <v>8.3299999999999999E-11</v>
      </c>
      <c r="O195" s="26">
        <v>7.7599999999999992E-12</v>
      </c>
      <c r="P195" s="26">
        <v>1.1600000000000001E-14</v>
      </c>
      <c r="Q195" s="26">
        <v>1.5300000000000001E-11</v>
      </c>
    </row>
    <row r="196" spans="1:17" x14ac:dyDescent="0.3">
      <c r="A196" t="s">
        <v>240</v>
      </c>
      <c r="B196">
        <v>78.117599999999996</v>
      </c>
      <c r="C196">
        <v>18.6601</v>
      </c>
      <c r="D196">
        <v>0.93899999999999995</v>
      </c>
      <c r="E196">
        <v>2.2704</v>
      </c>
      <c r="F196">
        <v>2.8999999999999998E-3</v>
      </c>
      <c r="G196">
        <v>0.01</v>
      </c>
      <c r="H196">
        <v>722</v>
      </c>
      <c r="I196">
        <v>2.2244999999999999</v>
      </c>
      <c r="J196">
        <v>2.2549000000000001</v>
      </c>
      <c r="K196">
        <v>0.98650000000000004</v>
      </c>
      <c r="L196" s="26">
        <v>4.2E-10</v>
      </c>
      <c r="M196" s="26">
        <v>4.4399999999999999E-14</v>
      </c>
      <c r="N196" s="26">
        <v>8.3100000000000003E-11</v>
      </c>
      <c r="O196" s="26">
        <v>7.7599999999999992E-12</v>
      </c>
      <c r="P196" s="26">
        <v>1.21E-14</v>
      </c>
      <c r="Q196" s="26">
        <v>1.56E-11</v>
      </c>
    </row>
    <row r="197" spans="1:17" x14ac:dyDescent="0.3">
      <c r="A197" t="s">
        <v>241</v>
      </c>
      <c r="B197">
        <v>78.124799999999993</v>
      </c>
      <c r="C197">
        <v>18.5974</v>
      </c>
      <c r="D197">
        <v>0.93879999999999997</v>
      </c>
      <c r="E197">
        <v>2.3256000000000001</v>
      </c>
      <c r="F197">
        <v>3.3E-3</v>
      </c>
      <c r="G197">
        <v>1.01E-2</v>
      </c>
      <c r="H197">
        <v>722</v>
      </c>
      <c r="I197">
        <v>2.2795000000000001</v>
      </c>
      <c r="J197">
        <v>2.3258000000000001</v>
      </c>
      <c r="K197">
        <v>0.98009999999999997</v>
      </c>
      <c r="L197" s="26">
        <v>4.2099999999999999E-10</v>
      </c>
      <c r="M197" s="26">
        <v>4.4900000000000003E-14</v>
      </c>
      <c r="N197" s="26">
        <v>8.2900000000000006E-11</v>
      </c>
      <c r="O197" s="26">
        <v>7.7699999999999994E-12</v>
      </c>
      <c r="P197" s="26">
        <v>1.2900000000000001E-14</v>
      </c>
      <c r="Q197" s="26">
        <v>1.6E-11</v>
      </c>
    </row>
    <row r="198" spans="1:17" x14ac:dyDescent="0.3">
      <c r="A198" t="s">
        <v>242</v>
      </c>
      <c r="B198">
        <v>78.133600000000001</v>
      </c>
      <c r="C198">
        <v>18.533100000000001</v>
      </c>
      <c r="D198">
        <v>0.93979999999999997</v>
      </c>
      <c r="E198">
        <v>2.3809999999999998</v>
      </c>
      <c r="F198">
        <v>2.3999999999999998E-3</v>
      </c>
      <c r="G198">
        <v>1.01E-2</v>
      </c>
      <c r="H198">
        <v>702</v>
      </c>
      <c r="I198">
        <v>2.3344</v>
      </c>
      <c r="J198">
        <v>2.3935</v>
      </c>
      <c r="K198">
        <v>0.97529999999999994</v>
      </c>
      <c r="L198" s="26">
        <v>4.2099999999999999E-10</v>
      </c>
      <c r="M198" s="26">
        <v>4.4700000000000001E-14</v>
      </c>
      <c r="N198" s="26">
        <v>8.2600000000000004E-11</v>
      </c>
      <c r="O198" s="26">
        <v>7.7699999999999994E-12</v>
      </c>
      <c r="P198" s="26">
        <v>1.11E-14</v>
      </c>
      <c r="Q198" s="26">
        <v>1.64E-11</v>
      </c>
    </row>
    <row r="199" spans="1:17" x14ac:dyDescent="0.3">
      <c r="A199" t="s">
        <v>243</v>
      </c>
      <c r="B199">
        <v>78.138300000000001</v>
      </c>
      <c r="C199">
        <v>18.471800000000002</v>
      </c>
      <c r="D199">
        <v>0.93969999999999998</v>
      </c>
      <c r="E199">
        <v>2.4369999999999998</v>
      </c>
      <c r="F199">
        <v>2.3999999999999998E-3</v>
      </c>
      <c r="G199">
        <v>1.09E-2</v>
      </c>
      <c r="H199">
        <v>699</v>
      </c>
      <c r="I199">
        <v>2.3915000000000002</v>
      </c>
      <c r="J199">
        <v>2.4525000000000001</v>
      </c>
      <c r="K199">
        <v>0.97509999999999997</v>
      </c>
      <c r="L199" s="26">
        <v>4.2099999999999999E-10</v>
      </c>
      <c r="M199" s="26">
        <v>4.7700000000000001E-14</v>
      </c>
      <c r="N199" s="26">
        <v>8.2300000000000003E-11</v>
      </c>
      <c r="O199" s="26">
        <v>7.7799999999999996E-12</v>
      </c>
      <c r="P199" s="26">
        <v>1.13E-14</v>
      </c>
      <c r="Q199" s="26">
        <v>1.68E-11</v>
      </c>
    </row>
    <row r="200" spans="1:17" x14ac:dyDescent="0.3">
      <c r="A200" t="s">
        <v>244</v>
      </c>
      <c r="B200">
        <v>78.128900000000002</v>
      </c>
      <c r="C200">
        <v>18.4251</v>
      </c>
      <c r="D200">
        <v>0.93940000000000001</v>
      </c>
      <c r="E200">
        <v>2.4925000000000002</v>
      </c>
      <c r="F200">
        <v>4.0000000000000001E-3</v>
      </c>
      <c r="G200">
        <v>1.01E-2</v>
      </c>
      <c r="H200">
        <v>699</v>
      </c>
      <c r="I200">
        <v>2.4462999999999999</v>
      </c>
      <c r="J200">
        <v>2.4967999999999999</v>
      </c>
      <c r="K200">
        <v>0.9798</v>
      </c>
      <c r="L200" s="26">
        <v>4.2099999999999999E-10</v>
      </c>
      <c r="M200" s="26">
        <v>4.4600000000000001E-14</v>
      </c>
      <c r="N200" s="26">
        <v>8.2100000000000006E-11</v>
      </c>
      <c r="O200" s="26">
        <v>7.7699999999999994E-12</v>
      </c>
      <c r="P200" s="26">
        <v>1.4599999999999999E-14</v>
      </c>
      <c r="Q200" s="26">
        <v>1.7199999999999999E-11</v>
      </c>
    </row>
    <row r="201" spans="1:17" x14ac:dyDescent="0.3">
      <c r="A201" t="s">
        <v>245</v>
      </c>
      <c r="B201">
        <v>78.125500000000002</v>
      </c>
      <c r="C201">
        <v>18.380400000000002</v>
      </c>
      <c r="D201">
        <v>0.93940000000000001</v>
      </c>
      <c r="E201">
        <v>2.5413999999999999</v>
      </c>
      <c r="F201">
        <v>2.8E-3</v>
      </c>
      <c r="G201">
        <v>1.0500000000000001E-2</v>
      </c>
      <c r="H201">
        <v>707</v>
      </c>
      <c r="I201">
        <v>2.4954000000000001</v>
      </c>
      <c r="J201">
        <v>2.5457000000000001</v>
      </c>
      <c r="K201">
        <v>0.98029999999999995</v>
      </c>
      <c r="L201" s="26">
        <v>4.2099999999999999E-10</v>
      </c>
      <c r="M201" s="26">
        <v>4.6400000000000003E-14</v>
      </c>
      <c r="N201" s="26">
        <v>8.1899999999999996E-11</v>
      </c>
      <c r="O201" s="26">
        <v>7.7699999999999994E-12</v>
      </c>
      <c r="P201" s="26">
        <v>1.21E-14</v>
      </c>
      <c r="Q201" s="26">
        <v>1.7500000000000001E-11</v>
      </c>
    </row>
    <row r="202" spans="1:17" x14ac:dyDescent="0.3">
      <c r="A202" t="s">
        <v>246</v>
      </c>
      <c r="B202">
        <v>78.114400000000003</v>
      </c>
      <c r="C202">
        <v>18.351500000000001</v>
      </c>
      <c r="D202">
        <v>0.93940000000000001</v>
      </c>
      <c r="E202">
        <v>2.5807000000000002</v>
      </c>
      <c r="F202">
        <v>3.3999999999999998E-3</v>
      </c>
      <c r="G202">
        <v>1.06E-2</v>
      </c>
      <c r="H202">
        <v>704</v>
      </c>
      <c r="I202">
        <v>2.5344000000000002</v>
      </c>
      <c r="J202">
        <v>2.5741000000000001</v>
      </c>
      <c r="K202">
        <v>0.98460000000000003</v>
      </c>
      <c r="L202" s="26">
        <v>4.2099999999999999E-10</v>
      </c>
      <c r="M202" s="26">
        <v>4.6499999999999997E-14</v>
      </c>
      <c r="N202" s="26">
        <v>8.1899999999999996E-11</v>
      </c>
      <c r="O202" s="26">
        <v>7.7799999999999996E-12</v>
      </c>
      <c r="P202" s="26">
        <v>1.34E-14</v>
      </c>
      <c r="Q202" s="26">
        <v>1.7799999999999999E-11</v>
      </c>
    </row>
    <row r="203" spans="1:17" x14ac:dyDescent="0.3">
      <c r="A203" t="s">
        <v>247</v>
      </c>
      <c r="B203">
        <v>78.116600000000005</v>
      </c>
      <c r="C203">
        <v>18.315899999999999</v>
      </c>
      <c r="D203">
        <v>0.93889999999999996</v>
      </c>
      <c r="E203">
        <v>2.6151</v>
      </c>
      <c r="F203">
        <v>3.2000000000000002E-3</v>
      </c>
      <c r="G203">
        <v>1.04E-2</v>
      </c>
      <c r="H203">
        <v>694</v>
      </c>
      <c r="I203">
        <v>2.5699000000000001</v>
      </c>
      <c r="J203">
        <v>2.6053999999999999</v>
      </c>
      <c r="K203">
        <v>0.98640000000000005</v>
      </c>
      <c r="L203" s="26">
        <v>4.2099999999999999E-10</v>
      </c>
      <c r="M203" s="26">
        <v>4.5699999999999997E-14</v>
      </c>
      <c r="N203" s="26">
        <v>8.1599999999999995E-11</v>
      </c>
      <c r="O203" s="26">
        <v>7.7699999999999994E-12</v>
      </c>
      <c r="P203" s="26">
        <v>1.3100000000000001E-14</v>
      </c>
      <c r="Q203" s="26">
        <v>1.7999999999999999E-11</v>
      </c>
    </row>
    <row r="204" spans="1:17" x14ac:dyDescent="0.3">
      <c r="A204" t="s">
        <v>248</v>
      </c>
      <c r="B204">
        <v>78.104900000000001</v>
      </c>
      <c r="C204">
        <v>18.296600000000002</v>
      </c>
      <c r="D204">
        <v>0.93899999999999995</v>
      </c>
      <c r="E204">
        <v>2.6461000000000001</v>
      </c>
      <c r="F204">
        <v>2.8E-3</v>
      </c>
      <c r="G204">
        <v>1.0699999999999999E-2</v>
      </c>
      <c r="H204">
        <v>714</v>
      </c>
      <c r="I204">
        <v>2.6013000000000002</v>
      </c>
      <c r="J204">
        <v>2.6213000000000002</v>
      </c>
      <c r="K204">
        <v>0.99229999999999996</v>
      </c>
      <c r="L204" s="26">
        <v>4.2099999999999999E-10</v>
      </c>
      <c r="M204" s="26">
        <v>4.7100000000000003E-14</v>
      </c>
      <c r="N204" s="26">
        <v>8.17E-11</v>
      </c>
      <c r="O204" s="26">
        <v>7.7799999999999996E-12</v>
      </c>
      <c r="P204" s="26">
        <v>1.23E-14</v>
      </c>
      <c r="Q204" s="26">
        <v>1.8300000000000001E-11</v>
      </c>
    </row>
    <row r="205" spans="1:17" x14ac:dyDescent="0.3">
      <c r="A205" t="s">
        <v>249</v>
      </c>
      <c r="B205">
        <v>78.097499999999997</v>
      </c>
      <c r="C205">
        <v>18.279399999999999</v>
      </c>
      <c r="D205">
        <v>0.93830000000000002</v>
      </c>
      <c r="E205">
        <v>2.6713</v>
      </c>
      <c r="F205">
        <v>3.0000000000000001E-3</v>
      </c>
      <c r="G205">
        <v>1.06E-2</v>
      </c>
      <c r="H205">
        <v>716</v>
      </c>
      <c r="I205">
        <v>2.6259000000000001</v>
      </c>
      <c r="J205">
        <v>2.6362000000000001</v>
      </c>
      <c r="K205">
        <v>0.99609999999999999</v>
      </c>
      <c r="L205" s="26">
        <v>4.2099999999999999E-10</v>
      </c>
      <c r="M205" s="26">
        <v>4.6599999999999998E-14</v>
      </c>
      <c r="N205" s="26">
        <v>8.1599999999999995E-11</v>
      </c>
      <c r="O205" s="26">
        <v>7.7799999999999996E-12</v>
      </c>
      <c r="P205" s="26">
        <v>1.26E-14</v>
      </c>
      <c r="Q205" s="26">
        <v>1.8500000000000001E-11</v>
      </c>
    </row>
    <row r="206" spans="1:17" x14ac:dyDescent="0.3">
      <c r="A206" t="s">
        <v>250</v>
      </c>
      <c r="B206">
        <v>78.088700000000003</v>
      </c>
      <c r="C206">
        <v>18.263400000000001</v>
      </c>
      <c r="D206">
        <v>0.93930000000000002</v>
      </c>
      <c r="E206">
        <v>2.6962000000000002</v>
      </c>
      <c r="F206">
        <v>2.3E-3</v>
      </c>
      <c r="G206">
        <v>1.01E-2</v>
      </c>
      <c r="H206">
        <v>719</v>
      </c>
      <c r="I206">
        <v>2.6514000000000002</v>
      </c>
      <c r="J206">
        <v>2.6505000000000001</v>
      </c>
      <c r="K206">
        <v>1.0003</v>
      </c>
      <c r="L206" s="26">
        <v>4.2099999999999999E-10</v>
      </c>
      <c r="M206" s="26">
        <v>4.4700000000000001E-14</v>
      </c>
      <c r="N206" s="26">
        <v>8.1599999999999995E-11</v>
      </c>
      <c r="O206" s="26">
        <v>7.7899999999999997E-12</v>
      </c>
      <c r="P206" s="26">
        <v>1.09E-14</v>
      </c>
      <c r="Q206" s="26">
        <v>1.8599999999999999E-11</v>
      </c>
    </row>
    <row r="207" spans="1:17" x14ac:dyDescent="0.3">
      <c r="A207" t="s">
        <v>251</v>
      </c>
      <c r="B207">
        <v>78.095299999999995</v>
      </c>
      <c r="C207">
        <v>18.236899999999999</v>
      </c>
      <c r="D207">
        <v>0.93879999999999997</v>
      </c>
      <c r="E207">
        <v>2.7162000000000002</v>
      </c>
      <c r="F207">
        <v>2.5000000000000001E-3</v>
      </c>
      <c r="G207">
        <v>1.04E-2</v>
      </c>
      <c r="H207">
        <v>718</v>
      </c>
      <c r="I207">
        <v>2.6709000000000001</v>
      </c>
      <c r="J207">
        <v>2.6814</v>
      </c>
      <c r="K207">
        <v>0.99609999999999999</v>
      </c>
      <c r="L207" s="26">
        <v>4.2099999999999999E-10</v>
      </c>
      <c r="M207" s="26">
        <v>4.5799999999999998E-14</v>
      </c>
      <c r="N207" s="26">
        <v>8.1399999999999998E-11</v>
      </c>
      <c r="O207" s="26">
        <v>7.7799999999999996E-12</v>
      </c>
      <c r="P207" s="26">
        <v>1.15E-14</v>
      </c>
      <c r="Q207" s="26">
        <v>1.8799999999999999E-11</v>
      </c>
    </row>
    <row r="208" spans="1:17" x14ac:dyDescent="0.3">
      <c r="A208" t="s">
        <v>252</v>
      </c>
      <c r="B208">
        <v>78.108000000000004</v>
      </c>
      <c r="C208">
        <v>18.197800000000001</v>
      </c>
      <c r="D208">
        <v>0.93959999999999999</v>
      </c>
      <c r="E208">
        <v>2.7416999999999998</v>
      </c>
      <c r="F208">
        <v>2.7000000000000001E-3</v>
      </c>
      <c r="G208">
        <v>1.03E-2</v>
      </c>
      <c r="H208">
        <v>718</v>
      </c>
      <c r="I208">
        <v>2.6964000000000001</v>
      </c>
      <c r="J208">
        <v>2.718</v>
      </c>
      <c r="K208">
        <v>0.99199999999999999</v>
      </c>
      <c r="L208" s="26">
        <v>4.2099999999999999E-10</v>
      </c>
      <c r="M208" s="26">
        <v>4.5400000000000001E-14</v>
      </c>
      <c r="N208" s="26">
        <v>8.1200000000000001E-11</v>
      </c>
      <c r="O208" s="26">
        <v>7.7799999999999996E-12</v>
      </c>
      <c r="P208" s="26">
        <v>1.19E-14</v>
      </c>
      <c r="Q208" s="26">
        <v>1.8900000000000001E-11</v>
      </c>
    </row>
    <row r="209" spans="1:17" x14ac:dyDescent="0.3">
      <c r="A209" t="s">
        <v>253</v>
      </c>
      <c r="B209">
        <v>78.111099999999993</v>
      </c>
      <c r="C209">
        <v>18.164400000000001</v>
      </c>
      <c r="D209">
        <v>0.93889999999999996</v>
      </c>
      <c r="E209">
        <v>2.7715999999999998</v>
      </c>
      <c r="F209">
        <v>3.5999999999999999E-3</v>
      </c>
      <c r="G209">
        <v>1.04E-2</v>
      </c>
      <c r="H209">
        <v>699</v>
      </c>
      <c r="I209">
        <v>2.7263999999999999</v>
      </c>
      <c r="J209">
        <v>2.7551000000000001</v>
      </c>
      <c r="K209">
        <v>0.98960000000000004</v>
      </c>
      <c r="L209" s="26">
        <v>4.2099999999999999E-10</v>
      </c>
      <c r="M209" s="26">
        <v>4.5899999999999999E-14</v>
      </c>
      <c r="N209" s="26">
        <v>8.1099999999999997E-11</v>
      </c>
      <c r="O209" s="26">
        <v>7.7799999999999996E-12</v>
      </c>
      <c r="P209" s="26">
        <v>1.4E-14</v>
      </c>
      <c r="Q209" s="26">
        <v>1.9100000000000001E-11</v>
      </c>
    </row>
    <row r="210" spans="1:17" x14ac:dyDescent="0.3">
      <c r="A210" t="s">
        <v>254</v>
      </c>
      <c r="B210">
        <v>78.123199999999997</v>
      </c>
      <c r="C210">
        <v>18.115200000000002</v>
      </c>
      <c r="D210">
        <v>0.93920000000000003</v>
      </c>
      <c r="E210">
        <v>2.8098000000000001</v>
      </c>
      <c r="F210">
        <v>2.3999999999999998E-3</v>
      </c>
      <c r="G210">
        <v>1.03E-2</v>
      </c>
      <c r="H210">
        <v>700</v>
      </c>
      <c r="I210">
        <v>2.7646000000000002</v>
      </c>
      <c r="J210">
        <v>2.8033000000000001</v>
      </c>
      <c r="K210">
        <v>0.98619999999999997</v>
      </c>
      <c r="L210" s="26">
        <v>4.2099999999999999E-10</v>
      </c>
      <c r="M210" s="26">
        <v>4.5500000000000002E-14</v>
      </c>
      <c r="N210" s="26">
        <v>8.09E-11</v>
      </c>
      <c r="O210" s="26">
        <v>7.7799999999999996E-12</v>
      </c>
      <c r="P210" s="26">
        <v>1.1400000000000001E-14</v>
      </c>
      <c r="Q210" s="26">
        <v>1.9399999999999999E-11</v>
      </c>
    </row>
    <row r="211" spans="1:17" x14ac:dyDescent="0.3">
      <c r="A211" t="s">
        <v>255</v>
      </c>
      <c r="B211">
        <v>78.135099999999994</v>
      </c>
      <c r="C211">
        <v>18.0565</v>
      </c>
      <c r="D211">
        <v>0.93930000000000002</v>
      </c>
      <c r="E211">
        <v>2.8567</v>
      </c>
      <c r="F211">
        <v>1.8E-3</v>
      </c>
      <c r="G211">
        <v>1.06E-2</v>
      </c>
      <c r="H211">
        <v>704</v>
      </c>
      <c r="I211">
        <v>2.8113000000000001</v>
      </c>
      <c r="J211">
        <v>2.8637000000000001</v>
      </c>
      <c r="K211">
        <v>0.98170000000000002</v>
      </c>
      <c r="L211" s="26">
        <v>4.2199999999999999E-10</v>
      </c>
      <c r="M211" s="26">
        <v>4.6499999999999997E-14</v>
      </c>
      <c r="N211" s="26">
        <v>8.0599999999999998E-11</v>
      </c>
      <c r="O211" s="26">
        <v>7.7799999999999996E-12</v>
      </c>
      <c r="P211" s="26">
        <v>1.02E-14</v>
      </c>
      <c r="Q211" s="26">
        <v>1.97E-11</v>
      </c>
    </row>
    <row r="212" spans="1:17" x14ac:dyDescent="0.3">
      <c r="A212" t="s">
        <v>256</v>
      </c>
      <c r="B212">
        <v>78.150800000000004</v>
      </c>
      <c r="C212">
        <v>17.991199999999999</v>
      </c>
      <c r="D212">
        <v>0.93940000000000001</v>
      </c>
      <c r="E212">
        <v>2.9058000000000002</v>
      </c>
      <c r="F212">
        <v>2.8E-3</v>
      </c>
      <c r="G212">
        <v>1.01E-2</v>
      </c>
      <c r="H212">
        <v>702</v>
      </c>
      <c r="I212">
        <v>2.8580999999999999</v>
      </c>
      <c r="J212">
        <v>2.9447999999999999</v>
      </c>
      <c r="K212">
        <v>0.97050000000000003</v>
      </c>
      <c r="L212" s="26">
        <v>4.2199999999999999E-10</v>
      </c>
      <c r="M212" s="26">
        <v>4.4700000000000001E-14</v>
      </c>
      <c r="N212" s="26">
        <v>8.0299999999999997E-11</v>
      </c>
      <c r="O212" s="26">
        <v>7.7799999999999996E-12</v>
      </c>
      <c r="P212" s="26">
        <v>1.23E-14</v>
      </c>
      <c r="Q212" s="26">
        <v>2.01E-11</v>
      </c>
    </row>
    <row r="213" spans="1:17" x14ac:dyDescent="0.3">
      <c r="A213" t="s">
        <v>257</v>
      </c>
      <c r="B213">
        <v>78.163300000000007</v>
      </c>
      <c r="C213">
        <v>17.9192</v>
      </c>
      <c r="D213">
        <v>0.93940000000000001</v>
      </c>
      <c r="E213">
        <v>2.9647999999999999</v>
      </c>
      <c r="F213">
        <v>2.5000000000000001E-3</v>
      </c>
      <c r="G213">
        <v>1.0800000000000001E-2</v>
      </c>
      <c r="H213">
        <v>713</v>
      </c>
      <c r="I213">
        <v>2.9165000000000001</v>
      </c>
      <c r="J213">
        <v>3.016</v>
      </c>
      <c r="K213">
        <v>0.96699999999999997</v>
      </c>
      <c r="L213" s="26">
        <v>4.2199999999999999E-10</v>
      </c>
      <c r="M213" s="26">
        <v>4.7399999999999999E-14</v>
      </c>
      <c r="N213" s="26">
        <v>7.9999999999999995E-11</v>
      </c>
      <c r="O213" s="26">
        <v>7.7899999999999997E-12</v>
      </c>
      <c r="P213" s="26">
        <v>1.19E-14</v>
      </c>
      <c r="Q213" s="26">
        <v>2.05E-11</v>
      </c>
    </row>
    <row r="214" spans="1:17" x14ac:dyDescent="0.3">
      <c r="A214" t="s">
        <v>258</v>
      </c>
      <c r="B214">
        <v>78.166899999999998</v>
      </c>
      <c r="C214">
        <v>17.851900000000001</v>
      </c>
      <c r="D214">
        <v>0.93930000000000002</v>
      </c>
      <c r="E214">
        <v>3.0305</v>
      </c>
      <c r="F214">
        <v>2.0999999999999999E-3</v>
      </c>
      <c r="G214">
        <v>9.2999999999999992E-3</v>
      </c>
      <c r="H214">
        <v>714</v>
      </c>
      <c r="I214">
        <v>2.9826000000000001</v>
      </c>
      <c r="J214">
        <v>3.0825999999999998</v>
      </c>
      <c r="K214">
        <v>0.96760000000000002</v>
      </c>
      <c r="L214" s="26">
        <v>4.2199999999999999E-10</v>
      </c>
      <c r="M214" s="26">
        <v>4.15E-14</v>
      </c>
      <c r="N214" s="26">
        <v>7.9699999999999994E-11</v>
      </c>
      <c r="O214" s="26">
        <v>7.7799999999999996E-12</v>
      </c>
      <c r="P214" s="26">
        <v>1.06E-14</v>
      </c>
      <c r="Q214" s="26">
        <v>2.09E-11</v>
      </c>
    </row>
    <row r="215" spans="1:17" x14ac:dyDescent="0.3">
      <c r="A215" t="s">
        <v>259</v>
      </c>
      <c r="B215">
        <v>78.172700000000006</v>
      </c>
      <c r="C215">
        <v>17.775200000000002</v>
      </c>
      <c r="D215">
        <v>0.93969999999999998</v>
      </c>
      <c r="E215">
        <v>3.1002999999999998</v>
      </c>
      <c r="F215">
        <v>1.9E-3</v>
      </c>
      <c r="G215">
        <v>1.0200000000000001E-2</v>
      </c>
      <c r="H215">
        <v>711</v>
      </c>
      <c r="I215">
        <v>3.0522999999999998</v>
      </c>
      <c r="J215">
        <v>3.1579000000000002</v>
      </c>
      <c r="K215">
        <v>0.96660000000000001</v>
      </c>
      <c r="L215" s="26">
        <v>4.2199999999999999E-10</v>
      </c>
      <c r="M215" s="26">
        <v>4.4800000000000002E-14</v>
      </c>
      <c r="N215" s="26">
        <v>7.9400000000000005E-11</v>
      </c>
      <c r="O215" s="26">
        <v>7.7899999999999997E-12</v>
      </c>
      <c r="P215" s="26">
        <v>1.04E-14</v>
      </c>
      <c r="Q215" s="26">
        <v>2.1399999999999998E-11</v>
      </c>
    </row>
    <row r="216" spans="1:17" x14ac:dyDescent="0.3">
      <c r="A216" t="s">
        <v>260</v>
      </c>
      <c r="B216">
        <v>78.174599999999998</v>
      </c>
      <c r="C216">
        <v>17.6997</v>
      </c>
      <c r="D216">
        <v>0.93979999999999997</v>
      </c>
      <c r="E216">
        <v>3.1739999999999999</v>
      </c>
      <c r="F216">
        <v>2.5999999999999999E-3</v>
      </c>
      <c r="G216">
        <v>9.1999999999999998E-3</v>
      </c>
      <c r="H216">
        <v>711</v>
      </c>
      <c r="I216">
        <v>3.1259999999999999</v>
      </c>
      <c r="J216">
        <v>3.2334000000000001</v>
      </c>
      <c r="K216">
        <v>0.96679999999999999</v>
      </c>
      <c r="L216" s="26">
        <v>4.2199999999999999E-10</v>
      </c>
      <c r="M216" s="26">
        <v>4.1299999999999998E-14</v>
      </c>
      <c r="N216" s="26">
        <v>7.8999999999999999E-11</v>
      </c>
      <c r="O216" s="26">
        <v>7.7899999999999997E-12</v>
      </c>
      <c r="P216" s="26">
        <v>1.19E-14</v>
      </c>
      <c r="Q216" s="26">
        <v>2.19E-11</v>
      </c>
    </row>
    <row r="217" spans="1:17" x14ac:dyDescent="0.3">
      <c r="A217" t="s">
        <v>261</v>
      </c>
      <c r="B217">
        <v>78.177199999999999</v>
      </c>
      <c r="C217">
        <v>17.630800000000001</v>
      </c>
      <c r="D217">
        <v>0.9395</v>
      </c>
      <c r="E217">
        <v>3.2397</v>
      </c>
      <c r="F217">
        <v>3.0000000000000001E-3</v>
      </c>
      <c r="G217">
        <v>9.7999999999999997E-3</v>
      </c>
      <c r="H217">
        <v>718</v>
      </c>
      <c r="I217">
        <v>3.1915</v>
      </c>
      <c r="J217">
        <v>3.3018000000000001</v>
      </c>
      <c r="K217">
        <v>0.96660000000000001</v>
      </c>
      <c r="L217" s="26">
        <v>4.2199999999999999E-10</v>
      </c>
      <c r="M217" s="26">
        <v>4.3200000000000001E-14</v>
      </c>
      <c r="N217" s="26">
        <v>7.8699999999999997E-11</v>
      </c>
      <c r="O217" s="26">
        <v>7.7899999999999997E-12</v>
      </c>
      <c r="P217" s="26">
        <v>1.28E-14</v>
      </c>
      <c r="Q217" s="26">
        <v>2.2400000000000001E-11</v>
      </c>
    </row>
    <row r="218" spans="1:17" x14ac:dyDescent="0.3">
      <c r="A218" t="s">
        <v>262</v>
      </c>
      <c r="B218">
        <v>78.229299999999995</v>
      </c>
      <c r="C218">
        <v>17.5091</v>
      </c>
      <c r="D218">
        <v>0.93710000000000004</v>
      </c>
      <c r="E218">
        <v>3.3121999999999998</v>
      </c>
      <c r="F218">
        <v>2.5000000000000001E-3</v>
      </c>
      <c r="G218">
        <v>9.9000000000000008E-3</v>
      </c>
      <c r="H218">
        <v>626</v>
      </c>
      <c r="I218">
        <v>3.2616000000000001</v>
      </c>
      <c r="J218">
        <v>3.4357000000000002</v>
      </c>
      <c r="K218">
        <v>0.94930000000000003</v>
      </c>
      <c r="L218" s="26">
        <v>4.1700000000000001E-10</v>
      </c>
      <c r="M218" s="26">
        <v>4.3E-14</v>
      </c>
      <c r="N218" s="26">
        <v>7.7299999999999994E-11</v>
      </c>
      <c r="O218" s="26">
        <v>7.6799999999999996E-12</v>
      </c>
      <c r="P218" s="26">
        <v>1.17E-14</v>
      </c>
      <c r="Q218" s="26">
        <v>2.2600000000000001E-11</v>
      </c>
    </row>
    <row r="219" spans="1:17" x14ac:dyDescent="0.3">
      <c r="A219" t="s">
        <v>263</v>
      </c>
      <c r="B219">
        <v>78.176100000000005</v>
      </c>
      <c r="C219">
        <v>17.483599999999999</v>
      </c>
      <c r="D219">
        <v>0.93959999999999999</v>
      </c>
      <c r="E219">
        <v>3.3896999999999999</v>
      </c>
      <c r="F219">
        <v>1.1999999999999999E-3</v>
      </c>
      <c r="G219">
        <v>9.7999999999999997E-3</v>
      </c>
      <c r="H219">
        <v>698</v>
      </c>
      <c r="I219">
        <v>3.3410000000000002</v>
      </c>
      <c r="J219">
        <v>3.4519000000000002</v>
      </c>
      <c r="K219">
        <v>0.96789999999999998</v>
      </c>
      <c r="L219" s="26">
        <v>4.2199999999999999E-10</v>
      </c>
      <c r="M219" s="26">
        <v>4.3100000000000001E-14</v>
      </c>
      <c r="N219" s="26">
        <v>7.8099999999999994E-11</v>
      </c>
      <c r="O219" s="26">
        <v>7.7899999999999997E-12</v>
      </c>
      <c r="P219" s="26">
        <v>9.0699999999999995E-15</v>
      </c>
      <c r="Q219" s="26">
        <v>2.3400000000000001E-11</v>
      </c>
    </row>
    <row r="220" spans="1:17" x14ac:dyDescent="0.3">
      <c r="A220" t="s">
        <v>264</v>
      </c>
      <c r="B220">
        <v>78.157600000000002</v>
      </c>
      <c r="C220">
        <v>17.436399999999999</v>
      </c>
      <c r="D220">
        <v>0.93969999999999998</v>
      </c>
      <c r="E220">
        <v>3.4538000000000002</v>
      </c>
      <c r="F220">
        <v>3.0000000000000001E-3</v>
      </c>
      <c r="G220">
        <v>9.4999999999999998E-3</v>
      </c>
      <c r="H220">
        <v>697</v>
      </c>
      <c r="I220">
        <v>3.4062000000000001</v>
      </c>
      <c r="J220">
        <v>3.4952000000000001</v>
      </c>
      <c r="K220">
        <v>0.97450000000000003</v>
      </c>
      <c r="L220" s="26">
        <v>4.2199999999999999E-10</v>
      </c>
      <c r="M220" s="26">
        <v>4.2099999999999999E-14</v>
      </c>
      <c r="N220" s="26">
        <v>7.7899999999999997E-11</v>
      </c>
      <c r="O220" s="26">
        <v>7.7899999999999997E-12</v>
      </c>
      <c r="P220" s="26">
        <v>1.2900000000000001E-14</v>
      </c>
      <c r="Q220" s="26">
        <v>2.39E-11</v>
      </c>
    </row>
    <row r="221" spans="1:17" x14ac:dyDescent="0.3">
      <c r="A221" t="s">
        <v>265</v>
      </c>
      <c r="B221">
        <v>78.143900000000002</v>
      </c>
      <c r="C221">
        <v>17.390899999999998</v>
      </c>
      <c r="D221">
        <v>0.93959999999999999</v>
      </c>
      <c r="E221">
        <v>3.5125999999999999</v>
      </c>
      <c r="F221">
        <v>3.2000000000000002E-3</v>
      </c>
      <c r="G221">
        <v>9.7000000000000003E-3</v>
      </c>
      <c r="H221">
        <v>698</v>
      </c>
      <c r="I221">
        <v>3.4661</v>
      </c>
      <c r="J221">
        <v>3.5306999999999999</v>
      </c>
      <c r="K221">
        <v>0.98170000000000002</v>
      </c>
      <c r="L221" s="26">
        <v>4.2199999999999999E-10</v>
      </c>
      <c r="M221" s="26">
        <v>4.3100000000000001E-14</v>
      </c>
      <c r="N221" s="26">
        <v>7.7700000000000001E-11</v>
      </c>
      <c r="O221" s="26">
        <v>7.7899999999999997E-12</v>
      </c>
      <c r="P221" s="26">
        <v>1.3499999999999999E-14</v>
      </c>
      <c r="Q221" s="26">
        <v>2.4299999999999999E-11</v>
      </c>
    </row>
    <row r="222" spans="1:17" x14ac:dyDescent="0.3">
      <c r="A222" t="s">
        <v>266</v>
      </c>
      <c r="B222">
        <v>78.140600000000006</v>
      </c>
      <c r="C222">
        <v>17.332799999999999</v>
      </c>
      <c r="D222">
        <v>0.9395</v>
      </c>
      <c r="E222">
        <v>3.5743999999999998</v>
      </c>
      <c r="F222">
        <v>2.8E-3</v>
      </c>
      <c r="G222">
        <v>9.9000000000000008E-3</v>
      </c>
      <c r="H222">
        <v>699</v>
      </c>
      <c r="I222">
        <v>3.5278999999999998</v>
      </c>
      <c r="J222">
        <v>3.5962000000000001</v>
      </c>
      <c r="K222">
        <v>0.98099999999999998</v>
      </c>
      <c r="L222" s="26">
        <v>4.2199999999999999E-10</v>
      </c>
      <c r="M222" s="26">
        <v>4.38E-14</v>
      </c>
      <c r="N222" s="26">
        <v>7.7399999999999999E-11</v>
      </c>
      <c r="O222" s="26">
        <v>7.7899999999999997E-12</v>
      </c>
      <c r="P222" s="26">
        <v>1.26E-14</v>
      </c>
      <c r="Q222" s="26">
        <v>2.4699999999999999E-11</v>
      </c>
    </row>
    <row r="223" spans="1:17" x14ac:dyDescent="0.3">
      <c r="A223" t="s">
        <v>267</v>
      </c>
      <c r="B223">
        <v>78.138400000000004</v>
      </c>
      <c r="C223">
        <v>17.2668</v>
      </c>
      <c r="D223">
        <v>0.93930000000000002</v>
      </c>
      <c r="E223">
        <v>3.6434000000000002</v>
      </c>
      <c r="F223">
        <v>2.0999999999999999E-3</v>
      </c>
      <c r="G223">
        <v>9.9000000000000008E-3</v>
      </c>
      <c r="H223">
        <v>706</v>
      </c>
      <c r="I223">
        <v>3.5968</v>
      </c>
      <c r="J223">
        <v>3.66</v>
      </c>
      <c r="K223">
        <v>0.98270000000000002</v>
      </c>
      <c r="L223" s="26">
        <v>4.2199999999999999E-10</v>
      </c>
      <c r="M223" s="26">
        <v>4.3499999999999998E-14</v>
      </c>
      <c r="N223" s="26">
        <v>7.7099999999999997E-11</v>
      </c>
      <c r="O223" s="26">
        <v>7.7899999999999997E-12</v>
      </c>
      <c r="P223" s="26">
        <v>1.13E-14</v>
      </c>
      <c r="Q223" s="26">
        <v>2.5200000000000001E-11</v>
      </c>
    </row>
    <row r="224" spans="1:17" x14ac:dyDescent="0.3">
      <c r="A224" t="s">
        <v>268</v>
      </c>
      <c r="B224">
        <v>78.135499999999993</v>
      </c>
      <c r="C224">
        <v>17.197600000000001</v>
      </c>
      <c r="D224">
        <v>0.93930000000000002</v>
      </c>
      <c r="E224">
        <v>3.7145000000000001</v>
      </c>
      <c r="F224">
        <v>2.8E-3</v>
      </c>
      <c r="G224">
        <v>1.0200000000000001E-2</v>
      </c>
      <c r="H224">
        <v>706</v>
      </c>
      <c r="I224">
        <v>3.6674000000000002</v>
      </c>
      <c r="J224">
        <v>3.7339000000000002</v>
      </c>
      <c r="K224">
        <v>0.98219999999999996</v>
      </c>
      <c r="L224" s="26">
        <v>4.2199999999999999E-10</v>
      </c>
      <c r="M224" s="26">
        <v>4.4800000000000002E-14</v>
      </c>
      <c r="N224" s="26">
        <v>7.6799999999999996E-11</v>
      </c>
      <c r="O224" s="26">
        <v>7.7799999999999996E-12</v>
      </c>
      <c r="P224" s="26">
        <v>1.3E-14</v>
      </c>
      <c r="Q224" s="26">
        <v>2.5600000000000001E-11</v>
      </c>
    </row>
    <row r="225" spans="1:17" x14ac:dyDescent="0.3">
      <c r="A225" t="s">
        <v>269</v>
      </c>
      <c r="B225">
        <v>78.1404</v>
      </c>
      <c r="C225">
        <v>17.128599999999999</v>
      </c>
      <c r="D225">
        <v>0.93910000000000005</v>
      </c>
      <c r="E225">
        <v>3.7810999999999999</v>
      </c>
      <c r="F225">
        <v>1.5E-3</v>
      </c>
      <c r="G225">
        <v>9.2999999999999992E-3</v>
      </c>
      <c r="H225">
        <v>710</v>
      </c>
      <c r="I225">
        <v>3.7332999999999998</v>
      </c>
      <c r="J225">
        <v>3.7919</v>
      </c>
      <c r="K225">
        <v>0.98450000000000004</v>
      </c>
      <c r="L225" s="26">
        <v>4.2199999999999999E-10</v>
      </c>
      <c r="M225" s="26">
        <v>4.1199999999999997E-14</v>
      </c>
      <c r="N225" s="26">
        <v>7.6499999999999994E-11</v>
      </c>
      <c r="O225" s="26">
        <v>7.7799999999999996E-12</v>
      </c>
      <c r="P225" s="26">
        <v>9.7100000000000004E-15</v>
      </c>
      <c r="Q225" s="26">
        <v>2.6099999999999999E-11</v>
      </c>
    </row>
    <row r="226" spans="1:17" x14ac:dyDescent="0.3">
      <c r="A226" t="s">
        <v>270</v>
      </c>
      <c r="B226">
        <v>78.135199999999998</v>
      </c>
      <c r="C226">
        <v>17.059000000000001</v>
      </c>
      <c r="D226">
        <v>0.93940000000000001</v>
      </c>
      <c r="E226">
        <v>3.8544999999999998</v>
      </c>
      <c r="F226">
        <v>2.3E-3</v>
      </c>
      <c r="G226">
        <v>9.4999999999999998E-3</v>
      </c>
      <c r="H226">
        <v>714</v>
      </c>
      <c r="I226">
        <v>3.8073000000000001</v>
      </c>
      <c r="J226">
        <v>3.8702999999999999</v>
      </c>
      <c r="K226">
        <v>0.98370000000000002</v>
      </c>
      <c r="L226" s="26">
        <v>4.2199999999999999E-10</v>
      </c>
      <c r="M226" s="26">
        <v>4.2099999999999999E-14</v>
      </c>
      <c r="N226" s="26">
        <v>7.6200000000000006E-11</v>
      </c>
      <c r="O226" s="26">
        <v>7.7899999999999997E-12</v>
      </c>
      <c r="P226" s="26">
        <v>1.17E-14</v>
      </c>
      <c r="Q226" s="26">
        <v>2.6600000000000001E-11</v>
      </c>
    </row>
    <row r="227" spans="1:17" x14ac:dyDescent="0.3">
      <c r="A227" t="s">
        <v>271</v>
      </c>
      <c r="B227">
        <v>78.128699999999995</v>
      </c>
      <c r="C227">
        <v>16.9953</v>
      </c>
      <c r="D227">
        <v>0.9395</v>
      </c>
      <c r="E227">
        <v>3.9236</v>
      </c>
      <c r="F227">
        <v>3.0999999999999999E-3</v>
      </c>
      <c r="G227">
        <v>9.9000000000000008E-3</v>
      </c>
      <c r="H227">
        <v>719</v>
      </c>
      <c r="I227">
        <v>3.8767999999999998</v>
      </c>
      <c r="J227">
        <v>3.9235000000000002</v>
      </c>
      <c r="K227">
        <v>0.98809999999999998</v>
      </c>
      <c r="L227" s="26">
        <v>4.2199999999999999E-10</v>
      </c>
      <c r="M227" s="26">
        <v>4.3400000000000003E-14</v>
      </c>
      <c r="N227" s="26">
        <v>7.5900000000000004E-11</v>
      </c>
      <c r="O227" s="26">
        <v>7.7799999999999996E-12</v>
      </c>
      <c r="P227" s="26">
        <v>1.36E-14</v>
      </c>
      <c r="Q227" s="26">
        <v>2.7099999999999999E-11</v>
      </c>
    </row>
    <row r="228" spans="1:17" x14ac:dyDescent="0.3">
      <c r="A228" t="s">
        <v>272</v>
      </c>
      <c r="B228">
        <v>78.135499999999993</v>
      </c>
      <c r="C228">
        <v>16.9193</v>
      </c>
      <c r="D228">
        <v>0.93910000000000005</v>
      </c>
      <c r="E228">
        <v>3.9925000000000002</v>
      </c>
      <c r="F228">
        <v>3.3E-3</v>
      </c>
      <c r="G228">
        <v>1.0200000000000001E-2</v>
      </c>
      <c r="H228">
        <v>716</v>
      </c>
      <c r="I228">
        <v>3.9458000000000002</v>
      </c>
      <c r="J228">
        <v>4.0023999999999997</v>
      </c>
      <c r="K228">
        <v>0.9859</v>
      </c>
      <c r="L228" s="26">
        <v>4.2199999999999999E-10</v>
      </c>
      <c r="M228" s="26">
        <v>4.4700000000000001E-14</v>
      </c>
      <c r="N228" s="26">
        <v>7.5499999999999998E-11</v>
      </c>
      <c r="O228" s="26">
        <v>7.7799999999999996E-12</v>
      </c>
      <c r="P228" s="26">
        <v>1.41E-14</v>
      </c>
      <c r="Q228" s="26">
        <v>2.76E-11</v>
      </c>
    </row>
    <row r="229" spans="1:17" x14ac:dyDescent="0.3">
      <c r="A229" t="s">
        <v>273</v>
      </c>
      <c r="B229">
        <v>78.144499999999994</v>
      </c>
      <c r="C229">
        <v>16.836500000000001</v>
      </c>
      <c r="D229">
        <v>0.93930000000000002</v>
      </c>
      <c r="E229">
        <v>4.0674999999999999</v>
      </c>
      <c r="F229">
        <v>2.3E-3</v>
      </c>
      <c r="G229">
        <v>9.7999999999999997E-3</v>
      </c>
      <c r="H229">
        <v>699</v>
      </c>
      <c r="I229">
        <v>4.0198999999999998</v>
      </c>
      <c r="J229">
        <v>4.0942999999999996</v>
      </c>
      <c r="K229">
        <v>0.98180000000000001</v>
      </c>
      <c r="L229" s="26">
        <v>4.2199999999999999E-10</v>
      </c>
      <c r="M229" s="26">
        <v>4.3300000000000002E-14</v>
      </c>
      <c r="N229" s="26">
        <v>7.5199999999999996E-11</v>
      </c>
      <c r="O229" s="26">
        <v>7.7899999999999997E-12</v>
      </c>
      <c r="P229" s="26">
        <v>1.1999999999999999E-14</v>
      </c>
      <c r="Q229" s="26">
        <v>2.8099999999999999E-11</v>
      </c>
    </row>
    <row r="230" spans="1:17" x14ac:dyDescent="0.3">
      <c r="A230" t="s">
        <v>274</v>
      </c>
      <c r="B230">
        <v>78.142200000000003</v>
      </c>
      <c r="C230">
        <v>16.752400000000002</v>
      </c>
      <c r="D230">
        <v>0.93930000000000002</v>
      </c>
      <c r="E230">
        <v>4.1546000000000003</v>
      </c>
      <c r="F230">
        <v>2E-3</v>
      </c>
      <c r="G230">
        <v>9.5999999999999992E-3</v>
      </c>
      <c r="H230">
        <v>716</v>
      </c>
      <c r="I230">
        <v>4.1067999999999998</v>
      </c>
      <c r="J230">
        <v>4.1738999999999997</v>
      </c>
      <c r="K230">
        <v>0.9839</v>
      </c>
      <c r="L230" s="26">
        <v>4.2199999999999999E-10</v>
      </c>
      <c r="M230" s="26">
        <v>4.23E-14</v>
      </c>
      <c r="N230" s="26">
        <v>7.4800000000000003E-11</v>
      </c>
      <c r="O230" s="26">
        <v>7.7899999999999997E-12</v>
      </c>
      <c r="P230" s="26">
        <v>1.1200000000000001E-14</v>
      </c>
      <c r="Q230" s="26">
        <v>2.8699999999999998E-11</v>
      </c>
    </row>
    <row r="231" spans="1:17" x14ac:dyDescent="0.3">
      <c r="A231" t="s">
        <v>275</v>
      </c>
      <c r="B231">
        <v>78.142499999999998</v>
      </c>
      <c r="C231">
        <v>16.6631</v>
      </c>
      <c r="D231">
        <v>0.93959999999999999</v>
      </c>
      <c r="E231">
        <v>4.2430000000000003</v>
      </c>
      <c r="F231">
        <v>2.2000000000000001E-3</v>
      </c>
      <c r="G231">
        <v>9.7000000000000003E-3</v>
      </c>
      <c r="H231">
        <v>715</v>
      </c>
      <c r="I231">
        <v>4.1951000000000001</v>
      </c>
      <c r="J231">
        <v>4.2617000000000003</v>
      </c>
      <c r="K231">
        <v>0.98440000000000005</v>
      </c>
      <c r="L231" s="26">
        <v>4.2199999999999999E-10</v>
      </c>
      <c r="M231" s="26">
        <v>4.2699999999999997E-14</v>
      </c>
      <c r="N231" s="26">
        <v>7.4399999999999996E-11</v>
      </c>
      <c r="O231" s="26">
        <v>7.7899999999999997E-12</v>
      </c>
      <c r="P231" s="26">
        <v>1.17E-14</v>
      </c>
      <c r="Q231" s="26">
        <v>2.9299999999999998E-11</v>
      </c>
    </row>
    <row r="232" spans="1:17" x14ac:dyDescent="0.3">
      <c r="A232" t="s">
        <v>276</v>
      </c>
      <c r="B232">
        <v>78.141199999999998</v>
      </c>
      <c r="C232">
        <v>16.566199999999998</v>
      </c>
      <c r="D232">
        <v>0.93940000000000001</v>
      </c>
      <c r="E232">
        <v>4.3419999999999996</v>
      </c>
      <c r="F232">
        <v>2.3999999999999998E-3</v>
      </c>
      <c r="G232">
        <v>8.8000000000000005E-3</v>
      </c>
      <c r="H232">
        <v>716</v>
      </c>
      <c r="I232">
        <v>4.2950999999999997</v>
      </c>
      <c r="J232">
        <v>4.3521000000000001</v>
      </c>
      <c r="K232">
        <v>0.9869</v>
      </c>
      <c r="L232" s="26">
        <v>4.2199999999999999E-10</v>
      </c>
      <c r="M232" s="26">
        <v>3.9099999999999999E-14</v>
      </c>
      <c r="N232" s="26">
        <v>7.4000000000000003E-11</v>
      </c>
      <c r="O232" s="26">
        <v>7.7899999999999997E-12</v>
      </c>
      <c r="P232" s="26">
        <v>1.1999999999999999E-14</v>
      </c>
      <c r="Q232" s="26">
        <v>3E-11</v>
      </c>
    </row>
    <row r="233" spans="1:17" x14ac:dyDescent="0.3">
      <c r="A233" t="s">
        <v>277</v>
      </c>
      <c r="B233">
        <v>78.151799999999994</v>
      </c>
      <c r="C233">
        <v>16.465</v>
      </c>
      <c r="D233">
        <v>0.93879999999999997</v>
      </c>
      <c r="E233">
        <v>4.4325000000000001</v>
      </c>
      <c r="F233">
        <v>1.8E-3</v>
      </c>
      <c r="G233">
        <v>0.01</v>
      </c>
      <c r="H233">
        <v>699</v>
      </c>
      <c r="I233">
        <v>4.3841000000000001</v>
      </c>
      <c r="J233">
        <v>4.4615</v>
      </c>
      <c r="K233">
        <v>0.98260000000000003</v>
      </c>
      <c r="L233" s="26">
        <v>4.2299999999999999E-10</v>
      </c>
      <c r="M233" s="26">
        <v>4.3900000000000001E-14</v>
      </c>
      <c r="N233" s="26">
        <v>7.3599999999999997E-11</v>
      </c>
      <c r="O233" s="26">
        <v>7.7899999999999997E-12</v>
      </c>
      <c r="P233" s="26">
        <v>1.11E-14</v>
      </c>
      <c r="Q233" s="26">
        <v>3.0600000000000003E-11</v>
      </c>
    </row>
    <row r="234" spans="1:17" x14ac:dyDescent="0.3">
      <c r="A234" t="s">
        <v>278</v>
      </c>
      <c r="B234">
        <v>78.157499999999999</v>
      </c>
      <c r="C234">
        <v>16.365500000000001</v>
      </c>
      <c r="D234">
        <v>0.93889999999999996</v>
      </c>
      <c r="E234">
        <v>4.5259</v>
      </c>
      <c r="F234">
        <v>3.2000000000000002E-3</v>
      </c>
      <c r="G234">
        <v>8.9999999999999993E-3</v>
      </c>
      <c r="H234">
        <v>760</v>
      </c>
      <c r="I234">
        <v>4.4779999999999998</v>
      </c>
      <c r="J234">
        <v>4.5541</v>
      </c>
      <c r="K234">
        <v>0.98329999999999995</v>
      </c>
      <c r="L234" s="26">
        <v>4.2499999999999998E-10</v>
      </c>
      <c r="M234" s="26">
        <v>4.0100000000000001E-14</v>
      </c>
      <c r="N234" s="26">
        <v>7.3599999999999997E-11</v>
      </c>
      <c r="O234" s="26">
        <v>7.8400000000000005E-12</v>
      </c>
      <c r="P234" s="26">
        <v>1.41E-14</v>
      </c>
      <c r="Q234" s="26">
        <v>3.1500000000000001E-11</v>
      </c>
    </row>
    <row r="235" spans="1:17" x14ac:dyDescent="0.3">
      <c r="A235" t="s">
        <v>279</v>
      </c>
      <c r="B235">
        <v>78.149299999999997</v>
      </c>
      <c r="C235">
        <v>16.295999999999999</v>
      </c>
      <c r="D235">
        <v>0.93959999999999999</v>
      </c>
      <c r="E235">
        <v>4.6041999999999996</v>
      </c>
      <c r="F235">
        <v>1.6000000000000001E-3</v>
      </c>
      <c r="G235">
        <v>9.4000000000000004E-3</v>
      </c>
      <c r="H235">
        <v>714</v>
      </c>
      <c r="I235">
        <v>4.5564999999999998</v>
      </c>
      <c r="J235">
        <v>4.6258999999999997</v>
      </c>
      <c r="K235">
        <v>0.98499999999999999</v>
      </c>
      <c r="L235" s="26">
        <v>4.2299999999999999E-10</v>
      </c>
      <c r="M235" s="26">
        <v>4.1299999999999998E-14</v>
      </c>
      <c r="N235" s="26">
        <v>7.2799999999999997E-11</v>
      </c>
      <c r="O235" s="26">
        <v>7.7899999999999997E-12</v>
      </c>
      <c r="P235" s="26">
        <v>1.06E-14</v>
      </c>
      <c r="Q235" s="26">
        <v>3.1800000000000003E-11</v>
      </c>
    </row>
    <row r="236" spans="1:17" x14ac:dyDescent="0.3">
      <c r="A236" t="s">
        <v>280</v>
      </c>
      <c r="B236">
        <v>78.116900000000001</v>
      </c>
      <c r="C236">
        <v>16.225999999999999</v>
      </c>
      <c r="D236">
        <v>0.93930000000000002</v>
      </c>
      <c r="E236">
        <v>4.7072000000000003</v>
      </c>
      <c r="F236">
        <v>1.4E-3</v>
      </c>
      <c r="G236">
        <v>9.4000000000000004E-3</v>
      </c>
      <c r="H236">
        <v>716</v>
      </c>
      <c r="I236">
        <v>4.6612999999999998</v>
      </c>
      <c r="J236">
        <v>4.6920000000000002</v>
      </c>
      <c r="K236">
        <v>0.99350000000000005</v>
      </c>
      <c r="L236" s="26">
        <v>4.2199999999999999E-10</v>
      </c>
      <c r="M236" s="26">
        <v>4.1199999999999997E-14</v>
      </c>
      <c r="N236" s="26">
        <v>7.2499999999999995E-11</v>
      </c>
      <c r="O236" s="26">
        <v>7.7899999999999997E-12</v>
      </c>
      <c r="P236" s="26">
        <v>1.0099999999999999E-14</v>
      </c>
      <c r="Q236" s="26">
        <v>3.2499999999999998E-11</v>
      </c>
    </row>
    <row r="237" spans="1:17" x14ac:dyDescent="0.3">
      <c r="A237" t="s">
        <v>281</v>
      </c>
      <c r="B237">
        <v>78.1036</v>
      </c>
      <c r="C237">
        <v>16.147099999999998</v>
      </c>
      <c r="D237">
        <v>0.93899999999999995</v>
      </c>
      <c r="E237">
        <v>4.7984999999999998</v>
      </c>
      <c r="F237">
        <v>2.8E-3</v>
      </c>
      <c r="G237">
        <v>8.9999999999999993E-3</v>
      </c>
      <c r="H237">
        <v>716</v>
      </c>
      <c r="I237">
        <v>4.7527999999999997</v>
      </c>
      <c r="J237">
        <v>4.7666000000000004</v>
      </c>
      <c r="K237">
        <v>0.99709999999999999</v>
      </c>
      <c r="L237" s="26">
        <v>4.2299999999999999E-10</v>
      </c>
      <c r="M237" s="26">
        <v>3.9899999999999999E-14</v>
      </c>
      <c r="N237" s="26">
        <v>7.2199999999999994E-11</v>
      </c>
      <c r="O237" s="26">
        <v>7.7899999999999997E-12</v>
      </c>
      <c r="P237" s="26">
        <v>1.32E-14</v>
      </c>
      <c r="Q237" s="26">
        <v>3.3199999999999999E-11</v>
      </c>
    </row>
    <row r="238" spans="1:17" x14ac:dyDescent="0.3">
      <c r="A238" t="s">
        <v>282</v>
      </c>
      <c r="B238">
        <v>78.100399999999993</v>
      </c>
      <c r="C238">
        <v>16.058800000000002</v>
      </c>
      <c r="D238">
        <v>0.93889999999999996</v>
      </c>
      <c r="E238">
        <v>4.8887</v>
      </c>
      <c r="F238">
        <v>3.2000000000000002E-3</v>
      </c>
      <c r="G238">
        <v>0.01</v>
      </c>
      <c r="H238">
        <v>715</v>
      </c>
      <c r="I238">
        <v>4.8432000000000004</v>
      </c>
      <c r="J238">
        <v>4.8593999999999999</v>
      </c>
      <c r="K238">
        <v>0.99670000000000003</v>
      </c>
      <c r="L238" s="26">
        <v>4.2299999999999999E-10</v>
      </c>
      <c r="M238" s="26">
        <v>4.3699999999999999E-14</v>
      </c>
      <c r="N238" s="26">
        <v>7.18E-11</v>
      </c>
      <c r="O238" s="26">
        <v>7.7899999999999997E-12</v>
      </c>
      <c r="P238" s="26">
        <v>1.4599999999999999E-14</v>
      </c>
      <c r="Q238" s="26">
        <v>3.3800000000000002E-11</v>
      </c>
    </row>
    <row r="239" spans="1:17" x14ac:dyDescent="0.3">
      <c r="A239" t="s">
        <v>283</v>
      </c>
      <c r="B239">
        <v>78.104799999999997</v>
      </c>
      <c r="C239">
        <v>15.964399999999999</v>
      </c>
      <c r="D239">
        <v>0.93889999999999996</v>
      </c>
      <c r="E239">
        <v>4.9802</v>
      </c>
      <c r="F239">
        <v>2E-3</v>
      </c>
      <c r="G239">
        <v>9.7000000000000003E-3</v>
      </c>
      <c r="H239">
        <v>713</v>
      </c>
      <c r="I239">
        <v>4.9341999999999997</v>
      </c>
      <c r="J239">
        <v>4.9538000000000002</v>
      </c>
      <c r="K239">
        <v>0.996</v>
      </c>
      <c r="L239" s="26">
        <v>4.2199999999999999E-10</v>
      </c>
      <c r="M239" s="26">
        <v>4.2600000000000003E-14</v>
      </c>
      <c r="N239" s="26">
        <v>7.1300000000000002E-11</v>
      </c>
      <c r="O239" s="26">
        <v>7.7899999999999997E-12</v>
      </c>
      <c r="P239" s="26">
        <v>1.19E-14</v>
      </c>
      <c r="Q239" s="26">
        <v>3.4399999999999999E-11</v>
      </c>
    </row>
    <row r="240" spans="1:17" x14ac:dyDescent="0.3">
      <c r="A240" t="s">
        <v>284</v>
      </c>
      <c r="B240">
        <v>78.094399999999993</v>
      </c>
      <c r="C240">
        <v>15.879899999999999</v>
      </c>
      <c r="D240">
        <v>0.93820000000000003</v>
      </c>
      <c r="E240">
        <v>5.0761000000000003</v>
      </c>
      <c r="F240">
        <v>1.8E-3</v>
      </c>
      <c r="G240">
        <v>9.5999999999999992E-3</v>
      </c>
      <c r="H240">
        <v>712</v>
      </c>
      <c r="I240">
        <v>5.0317999999999996</v>
      </c>
      <c r="J240">
        <v>5.0256999999999996</v>
      </c>
      <c r="K240">
        <v>1.0012000000000001</v>
      </c>
      <c r="L240" s="26">
        <v>4.2199999999999999E-10</v>
      </c>
      <c r="M240" s="26">
        <v>4.2099999999999999E-14</v>
      </c>
      <c r="N240" s="26">
        <v>7.1E-11</v>
      </c>
      <c r="O240" s="26">
        <v>7.7799999999999996E-12</v>
      </c>
      <c r="P240" s="26">
        <v>1.1400000000000001E-14</v>
      </c>
      <c r="Q240" s="26">
        <v>3.51E-11</v>
      </c>
    </row>
    <row r="241" spans="1:17" x14ac:dyDescent="0.3">
      <c r="A241" t="s">
        <v>285</v>
      </c>
      <c r="B241">
        <v>78.096900000000005</v>
      </c>
      <c r="C241">
        <v>15.786300000000001</v>
      </c>
      <c r="D241">
        <v>0.93820000000000003</v>
      </c>
      <c r="E241">
        <v>5.1665000000000001</v>
      </c>
      <c r="F241">
        <v>2.3E-3</v>
      </c>
      <c r="G241">
        <v>9.9000000000000008E-3</v>
      </c>
      <c r="H241">
        <v>702</v>
      </c>
      <c r="I241">
        <v>5.1211000000000002</v>
      </c>
      <c r="J241">
        <v>5.1266999999999996</v>
      </c>
      <c r="K241">
        <v>0.99890000000000001</v>
      </c>
      <c r="L241" s="26">
        <v>4.2199999999999999E-10</v>
      </c>
      <c r="M241" s="26">
        <v>4.3300000000000002E-14</v>
      </c>
      <c r="N241" s="26">
        <v>7.0500000000000002E-11</v>
      </c>
      <c r="O241" s="26">
        <v>7.7799999999999996E-12</v>
      </c>
      <c r="P241" s="26">
        <v>1.26E-14</v>
      </c>
      <c r="Q241" s="26">
        <v>3.5699999999999997E-11</v>
      </c>
    </row>
    <row r="242" spans="1:17" x14ac:dyDescent="0.3">
      <c r="A242" t="s">
        <v>286</v>
      </c>
      <c r="B242">
        <v>78.095799999999997</v>
      </c>
      <c r="C242">
        <v>15.6799</v>
      </c>
      <c r="D242">
        <v>0.9385</v>
      </c>
      <c r="E242">
        <v>5.2729999999999997</v>
      </c>
      <c r="F242">
        <v>2.7000000000000001E-3</v>
      </c>
      <c r="G242">
        <v>0.01</v>
      </c>
      <c r="H242">
        <v>703</v>
      </c>
      <c r="I242">
        <v>5.2279</v>
      </c>
      <c r="J242">
        <v>5.2363999999999997</v>
      </c>
      <c r="K242">
        <v>0.99839999999999995</v>
      </c>
      <c r="L242" s="26">
        <v>4.2199999999999999E-10</v>
      </c>
      <c r="M242" s="26">
        <v>4.3599999999999998E-14</v>
      </c>
      <c r="N242" s="26">
        <v>7.0000000000000004E-11</v>
      </c>
      <c r="O242" s="26">
        <v>7.7799999999999996E-12</v>
      </c>
      <c r="P242" s="26">
        <v>1.3699999999999999E-14</v>
      </c>
      <c r="Q242" s="26">
        <v>3.6399999999999998E-11</v>
      </c>
    </row>
    <row r="243" spans="1:17" x14ac:dyDescent="0.3">
      <c r="A243" t="s">
        <v>287</v>
      </c>
      <c r="B243">
        <v>78.0989</v>
      </c>
      <c r="C243">
        <v>15.5817</v>
      </c>
      <c r="D243">
        <v>0.93830000000000002</v>
      </c>
      <c r="E243">
        <v>5.3693</v>
      </c>
      <c r="F243">
        <v>1.9E-3</v>
      </c>
      <c r="G243">
        <v>0.01</v>
      </c>
      <c r="H243">
        <v>705</v>
      </c>
      <c r="I243">
        <v>5.3239999999999998</v>
      </c>
      <c r="J243">
        <v>5.3339999999999996</v>
      </c>
      <c r="K243">
        <v>0.99809999999999999</v>
      </c>
      <c r="L243" s="26">
        <v>4.2199999999999999E-10</v>
      </c>
      <c r="M243" s="26">
        <v>4.3300000000000002E-14</v>
      </c>
      <c r="N243" s="26">
        <v>6.9599999999999997E-11</v>
      </c>
      <c r="O243" s="26">
        <v>7.7799999999999996E-12</v>
      </c>
      <c r="P243" s="26">
        <v>1.1999999999999999E-14</v>
      </c>
      <c r="Q243" s="26">
        <v>3.71E-11</v>
      </c>
    </row>
    <row r="244" spans="1:17" x14ac:dyDescent="0.3">
      <c r="A244" t="s">
        <v>288</v>
      </c>
      <c r="B244">
        <v>78.093400000000003</v>
      </c>
      <c r="C244">
        <v>15.4734</v>
      </c>
      <c r="D244">
        <v>0.93810000000000004</v>
      </c>
      <c r="E244">
        <v>5.4840999999999998</v>
      </c>
      <c r="F244">
        <v>1.4E-3</v>
      </c>
      <c r="G244">
        <v>9.5999999999999992E-3</v>
      </c>
      <c r="H244">
        <v>699</v>
      </c>
      <c r="I244">
        <v>5.4390000000000001</v>
      </c>
      <c r="J244">
        <v>5.4379999999999997</v>
      </c>
      <c r="K244">
        <v>1.0002</v>
      </c>
      <c r="L244" s="26">
        <v>4.2199999999999999E-10</v>
      </c>
      <c r="M244" s="26">
        <v>4.1800000000000002E-14</v>
      </c>
      <c r="N244" s="26">
        <v>6.9099999999999999E-11</v>
      </c>
      <c r="O244" s="26">
        <v>7.7799999999999996E-12</v>
      </c>
      <c r="P244" s="26">
        <v>1.08E-14</v>
      </c>
      <c r="Q244" s="26">
        <v>3.79E-11</v>
      </c>
    </row>
    <row r="245" spans="1:17" x14ac:dyDescent="0.3">
      <c r="A245" t="s">
        <v>289</v>
      </c>
      <c r="B245">
        <v>78.105900000000005</v>
      </c>
      <c r="C245">
        <v>15.363899999999999</v>
      </c>
      <c r="D245">
        <v>0.93840000000000001</v>
      </c>
      <c r="E245">
        <v>5.5804999999999998</v>
      </c>
      <c r="F245">
        <v>1.1000000000000001E-3</v>
      </c>
      <c r="G245">
        <v>1.0200000000000001E-2</v>
      </c>
      <c r="H245">
        <v>747</v>
      </c>
      <c r="I245">
        <v>5.5350999999999999</v>
      </c>
      <c r="J245">
        <v>5.5473999999999997</v>
      </c>
      <c r="K245">
        <v>0.99780000000000002</v>
      </c>
      <c r="L245" s="26">
        <v>4.2199999999999999E-10</v>
      </c>
      <c r="M245" s="26">
        <v>4.4199999999999997E-14</v>
      </c>
      <c r="N245" s="26">
        <v>6.8600000000000001E-11</v>
      </c>
      <c r="O245" s="26">
        <v>7.7799999999999996E-12</v>
      </c>
      <c r="P245" s="26">
        <v>1.04E-14</v>
      </c>
      <c r="Q245" s="26">
        <v>3.8500000000000003E-11</v>
      </c>
    </row>
    <row r="246" spans="1:17" x14ac:dyDescent="0.3">
      <c r="A246" t="s">
        <v>290</v>
      </c>
      <c r="B246">
        <v>78.107299999999995</v>
      </c>
      <c r="C246">
        <v>15.252700000000001</v>
      </c>
      <c r="D246">
        <v>0.93889999999999996</v>
      </c>
      <c r="E246">
        <v>5.6882999999999999</v>
      </c>
      <c r="F246">
        <v>2.8999999999999998E-3</v>
      </c>
      <c r="G246">
        <v>9.9000000000000008E-3</v>
      </c>
      <c r="H246">
        <v>704</v>
      </c>
      <c r="I246">
        <v>5.6418999999999997</v>
      </c>
      <c r="J246">
        <v>5.6680999999999999</v>
      </c>
      <c r="K246">
        <v>0.99539999999999995</v>
      </c>
      <c r="L246" s="26">
        <v>4.2199999999999999E-10</v>
      </c>
      <c r="M246" s="26">
        <v>4.3100000000000001E-14</v>
      </c>
      <c r="N246" s="26">
        <v>6.8100000000000003E-11</v>
      </c>
      <c r="O246" s="26">
        <v>7.7799999999999996E-12</v>
      </c>
      <c r="P246" s="26">
        <v>1.43E-14</v>
      </c>
      <c r="Q246" s="26">
        <v>3.9300000000000003E-11</v>
      </c>
    </row>
    <row r="247" spans="1:17" x14ac:dyDescent="0.3">
      <c r="A247" t="s">
        <v>291</v>
      </c>
      <c r="B247">
        <v>78.099400000000003</v>
      </c>
      <c r="C247">
        <v>15.1448</v>
      </c>
      <c r="D247">
        <v>0.93879999999999997</v>
      </c>
      <c r="E247">
        <v>5.8037999999999998</v>
      </c>
      <c r="F247">
        <v>2.8999999999999998E-3</v>
      </c>
      <c r="G247">
        <v>1.0200000000000001E-2</v>
      </c>
      <c r="H247">
        <v>741</v>
      </c>
      <c r="I247">
        <v>5.7583000000000002</v>
      </c>
      <c r="J247">
        <v>5.7712000000000003</v>
      </c>
      <c r="K247">
        <v>0.99780000000000002</v>
      </c>
      <c r="L247" s="26">
        <v>4.2399999999999998E-10</v>
      </c>
      <c r="M247" s="26">
        <v>4.4399999999999999E-14</v>
      </c>
      <c r="N247" s="26">
        <v>6.7900000000000006E-11</v>
      </c>
      <c r="O247" s="26">
        <v>7.8200000000000002E-12</v>
      </c>
      <c r="P247" s="26">
        <v>1.4599999999999999E-14</v>
      </c>
      <c r="Q247" s="26">
        <v>4.0299999999999999E-11</v>
      </c>
    </row>
    <row r="248" spans="1:17" x14ac:dyDescent="0.3">
      <c r="A248" t="s">
        <v>292</v>
      </c>
      <c r="B248">
        <v>78.099800000000002</v>
      </c>
      <c r="C248">
        <v>15.0349</v>
      </c>
      <c r="D248">
        <v>0.93820000000000003</v>
      </c>
      <c r="E248">
        <v>5.9160000000000004</v>
      </c>
      <c r="F248">
        <v>1E-3</v>
      </c>
      <c r="G248">
        <v>0.01</v>
      </c>
      <c r="H248">
        <v>719</v>
      </c>
      <c r="I248">
        <v>5.8704999999999998</v>
      </c>
      <c r="J248">
        <v>5.8815999999999997</v>
      </c>
      <c r="K248">
        <v>0.99809999999999999</v>
      </c>
      <c r="L248" s="26">
        <v>4.2199999999999999E-10</v>
      </c>
      <c r="M248" s="26">
        <v>4.3400000000000003E-14</v>
      </c>
      <c r="N248" s="26">
        <v>6.7100000000000006E-11</v>
      </c>
      <c r="O248" s="26">
        <v>7.7699999999999994E-12</v>
      </c>
      <c r="P248" s="26">
        <v>1.04E-14</v>
      </c>
      <c r="Q248" s="26">
        <v>4.0799999999999997E-11</v>
      </c>
    </row>
    <row r="249" spans="1:17" x14ac:dyDescent="0.3">
      <c r="A249" t="s">
        <v>293</v>
      </c>
      <c r="B249">
        <v>78.083399999999997</v>
      </c>
      <c r="C249">
        <v>14.9259</v>
      </c>
      <c r="D249">
        <v>0.93820000000000003</v>
      </c>
      <c r="E249">
        <v>6.0392999999999999</v>
      </c>
      <c r="F249">
        <v>3.0000000000000001E-3</v>
      </c>
      <c r="G249">
        <v>1.0200000000000001E-2</v>
      </c>
      <c r="H249">
        <v>738</v>
      </c>
      <c r="I249">
        <v>5.9946000000000002</v>
      </c>
      <c r="J249">
        <v>5.9890999999999996</v>
      </c>
      <c r="K249">
        <v>1.0008999999999999</v>
      </c>
      <c r="L249" s="26">
        <v>4.2399999999999998E-10</v>
      </c>
      <c r="M249" s="26">
        <v>4.4100000000000003E-14</v>
      </c>
      <c r="N249" s="26">
        <v>6.7000000000000001E-11</v>
      </c>
      <c r="O249" s="26">
        <v>7.81E-12</v>
      </c>
      <c r="P249" s="26">
        <v>1.4900000000000002E-14</v>
      </c>
      <c r="Q249" s="26">
        <v>4.1899999999999999E-11</v>
      </c>
    </row>
    <row r="250" spans="1:17" x14ac:dyDescent="0.3">
      <c r="A250" t="s">
        <v>294</v>
      </c>
      <c r="B250">
        <v>78.097700000000003</v>
      </c>
      <c r="C250">
        <v>14.8035</v>
      </c>
      <c r="D250">
        <v>0.93779999999999997</v>
      </c>
      <c r="E250">
        <v>6.1497000000000002</v>
      </c>
      <c r="F250">
        <v>1.4E-3</v>
      </c>
      <c r="G250">
        <v>9.9000000000000008E-3</v>
      </c>
      <c r="H250">
        <v>698</v>
      </c>
      <c r="I250">
        <v>6.1036000000000001</v>
      </c>
      <c r="J250">
        <v>6.1131000000000002</v>
      </c>
      <c r="K250">
        <v>0.99839999999999995</v>
      </c>
      <c r="L250" s="26">
        <v>4.2199999999999999E-10</v>
      </c>
      <c r="M250" s="26">
        <v>4.2799999999999998E-14</v>
      </c>
      <c r="N250" s="26">
        <v>6.6000000000000005E-11</v>
      </c>
      <c r="O250" s="26">
        <v>7.7599999999999992E-12</v>
      </c>
      <c r="P250" s="26">
        <v>1.13E-14</v>
      </c>
      <c r="Q250" s="26">
        <v>4.2399999999999997E-11</v>
      </c>
    </row>
    <row r="251" spans="1:17" x14ac:dyDescent="0.3">
      <c r="A251" t="s">
        <v>295</v>
      </c>
      <c r="B251">
        <v>78.054599999999994</v>
      </c>
      <c r="C251">
        <v>14.7508</v>
      </c>
      <c r="D251">
        <v>0.93810000000000004</v>
      </c>
      <c r="E251">
        <v>6.2446999999999999</v>
      </c>
      <c r="F251">
        <v>1.6999999999999999E-3</v>
      </c>
      <c r="G251">
        <v>0.01</v>
      </c>
      <c r="H251">
        <v>706</v>
      </c>
      <c r="I251">
        <v>6.2035</v>
      </c>
      <c r="J251">
        <v>6.1559999999999997</v>
      </c>
      <c r="K251">
        <v>1.0077</v>
      </c>
      <c r="L251" s="26">
        <v>4.2199999999999999E-10</v>
      </c>
      <c r="M251" s="26">
        <v>4.3400000000000003E-14</v>
      </c>
      <c r="N251" s="26">
        <v>6.59E-11</v>
      </c>
      <c r="O251" s="26">
        <v>7.7699999999999994E-12</v>
      </c>
      <c r="P251" s="26">
        <v>1.21E-14</v>
      </c>
      <c r="Q251" s="26">
        <v>4.3099999999999999E-11</v>
      </c>
    </row>
    <row r="252" spans="1:17" x14ac:dyDescent="0.3">
      <c r="A252" t="s">
        <v>296</v>
      </c>
      <c r="B252">
        <v>78.041300000000007</v>
      </c>
      <c r="C252">
        <v>14.670500000000001</v>
      </c>
      <c r="D252">
        <v>0.93799999999999994</v>
      </c>
      <c r="E252">
        <v>6.3385999999999996</v>
      </c>
      <c r="F252">
        <v>1.9E-3</v>
      </c>
      <c r="G252">
        <v>9.7000000000000003E-3</v>
      </c>
      <c r="H252">
        <v>703</v>
      </c>
      <c r="I252">
        <v>6.2981999999999996</v>
      </c>
      <c r="J252">
        <v>6.2382999999999997</v>
      </c>
      <c r="K252">
        <v>1.0096000000000001</v>
      </c>
      <c r="L252" s="26">
        <v>4.2199999999999999E-10</v>
      </c>
      <c r="M252" s="26">
        <v>4.2099999999999999E-14</v>
      </c>
      <c r="N252" s="26">
        <v>6.5500000000000006E-11</v>
      </c>
      <c r="O252" s="26">
        <v>7.7699999999999994E-12</v>
      </c>
      <c r="P252" s="26">
        <v>1.25E-14</v>
      </c>
      <c r="Q252" s="26">
        <v>4.3700000000000002E-11</v>
      </c>
    </row>
    <row r="253" spans="1:17" x14ac:dyDescent="0.3">
      <c r="A253" t="s">
        <v>297</v>
      </c>
      <c r="B253">
        <v>78.034300000000002</v>
      </c>
      <c r="C253">
        <v>14.5921</v>
      </c>
      <c r="D253">
        <v>0.93769999999999998</v>
      </c>
      <c r="E253">
        <v>6.4226999999999999</v>
      </c>
      <c r="F253">
        <v>3.0999999999999999E-3</v>
      </c>
      <c r="G253">
        <v>0.01</v>
      </c>
      <c r="H253">
        <v>697</v>
      </c>
      <c r="I253">
        <v>6.3822000000000001</v>
      </c>
      <c r="J253">
        <v>6.3170999999999999</v>
      </c>
      <c r="K253">
        <v>1.0103</v>
      </c>
      <c r="L253" s="26">
        <v>4.2199999999999999E-10</v>
      </c>
      <c r="M253" s="26">
        <v>4.3E-14</v>
      </c>
      <c r="N253" s="26">
        <v>6.5200000000000005E-11</v>
      </c>
      <c r="O253" s="26">
        <v>7.7699999999999994E-12</v>
      </c>
      <c r="P253" s="26">
        <v>1.5399999999999999E-14</v>
      </c>
      <c r="Q253" s="26">
        <v>4.4299999999999998E-11</v>
      </c>
    </row>
    <row r="254" spans="1:17" x14ac:dyDescent="0.3">
      <c r="A254" t="s">
        <v>298</v>
      </c>
      <c r="B254">
        <v>78.037499999999994</v>
      </c>
      <c r="C254">
        <v>14.513999999999999</v>
      </c>
      <c r="D254">
        <v>0.93759999999999999</v>
      </c>
      <c r="E254">
        <v>6.4996999999999998</v>
      </c>
      <c r="F254">
        <v>1.5E-3</v>
      </c>
      <c r="G254">
        <v>9.7000000000000003E-3</v>
      </c>
      <c r="H254">
        <v>699</v>
      </c>
      <c r="I254">
        <v>6.4595000000000002</v>
      </c>
      <c r="J254">
        <v>6.3930999999999996</v>
      </c>
      <c r="K254">
        <v>1.0104</v>
      </c>
      <c r="L254" s="26">
        <v>4.2199999999999999E-10</v>
      </c>
      <c r="M254" s="26">
        <v>4.1800000000000002E-14</v>
      </c>
      <c r="N254" s="26">
        <v>6.4799999999999999E-11</v>
      </c>
      <c r="O254" s="26">
        <v>7.7699999999999994E-12</v>
      </c>
      <c r="P254" s="26">
        <v>1.1799999999999999E-14</v>
      </c>
      <c r="Q254" s="26">
        <v>4.4900000000000001E-11</v>
      </c>
    </row>
    <row r="255" spans="1:17" x14ac:dyDescent="0.3">
      <c r="A255" t="s">
        <v>299</v>
      </c>
      <c r="B255">
        <v>78.041499999999999</v>
      </c>
      <c r="C255">
        <v>14.411899999999999</v>
      </c>
      <c r="D255">
        <v>0.93769999999999998</v>
      </c>
      <c r="E255">
        <v>6.5968999999999998</v>
      </c>
      <c r="F255">
        <v>3.0999999999999999E-3</v>
      </c>
      <c r="G255">
        <v>8.9999999999999993E-3</v>
      </c>
      <c r="H255">
        <v>717</v>
      </c>
      <c r="I255">
        <v>6.5571000000000002</v>
      </c>
      <c r="J255">
        <v>6.4863999999999997</v>
      </c>
      <c r="K255">
        <v>1.0108999999999999</v>
      </c>
      <c r="L255" s="26">
        <v>4.2199999999999999E-10</v>
      </c>
      <c r="M255" s="26">
        <v>3.9099999999999999E-14</v>
      </c>
      <c r="N255" s="26">
        <v>6.4400000000000005E-11</v>
      </c>
      <c r="O255" s="26">
        <v>7.7699999999999994E-12</v>
      </c>
      <c r="P255" s="26">
        <v>1.4999999999999999E-14</v>
      </c>
      <c r="Q255" s="26">
        <v>4.5499999999999998E-11</v>
      </c>
    </row>
    <row r="256" spans="1:17" x14ac:dyDescent="0.3">
      <c r="A256" t="s">
        <v>300</v>
      </c>
      <c r="B256">
        <v>78.0471</v>
      </c>
      <c r="C256">
        <v>14.302899999999999</v>
      </c>
      <c r="D256">
        <v>0.93779999999999997</v>
      </c>
      <c r="E256">
        <v>6.7008999999999999</v>
      </c>
      <c r="F256">
        <v>1.6999999999999999E-3</v>
      </c>
      <c r="G256">
        <v>9.7000000000000003E-3</v>
      </c>
      <c r="H256">
        <v>713</v>
      </c>
      <c r="I256">
        <v>6.66</v>
      </c>
      <c r="J256">
        <v>6.6032000000000002</v>
      </c>
      <c r="K256">
        <v>1.0085999999999999</v>
      </c>
      <c r="L256" s="26">
        <v>4.2199999999999999E-10</v>
      </c>
      <c r="M256" s="26">
        <v>4.1999999999999998E-14</v>
      </c>
      <c r="N256" s="26">
        <v>6.3899999999999994E-11</v>
      </c>
      <c r="O256" s="26">
        <v>7.7699999999999994E-12</v>
      </c>
      <c r="P256" s="26">
        <v>1.23E-14</v>
      </c>
      <c r="Q256" s="26">
        <v>4.6299999999999998E-11</v>
      </c>
    </row>
    <row r="257" spans="1:17" x14ac:dyDescent="0.3">
      <c r="A257" t="s">
        <v>301</v>
      </c>
      <c r="B257">
        <v>78.040099999999995</v>
      </c>
      <c r="C257">
        <v>14.1816</v>
      </c>
      <c r="D257">
        <v>0.93779999999999997</v>
      </c>
      <c r="E257">
        <v>6.8281000000000001</v>
      </c>
      <c r="F257">
        <v>2.0999999999999999E-3</v>
      </c>
      <c r="G257">
        <v>1.03E-2</v>
      </c>
      <c r="H257">
        <v>704</v>
      </c>
      <c r="I257">
        <v>6.7878999999999996</v>
      </c>
      <c r="J257">
        <v>6.7226999999999997</v>
      </c>
      <c r="K257">
        <v>1.0097</v>
      </c>
      <c r="L257" s="26">
        <v>4.2199999999999999E-10</v>
      </c>
      <c r="M257" s="26">
        <v>4.4100000000000003E-14</v>
      </c>
      <c r="N257" s="26">
        <v>6.3300000000000004E-11</v>
      </c>
      <c r="O257" s="26">
        <v>7.7699999999999994E-12</v>
      </c>
      <c r="P257" s="26">
        <v>1.34E-14</v>
      </c>
      <c r="Q257" s="26">
        <v>4.7099999999999998E-11</v>
      </c>
    </row>
    <row r="258" spans="1:17" x14ac:dyDescent="0.3">
      <c r="A258" t="s">
        <v>302</v>
      </c>
      <c r="B258">
        <v>78.041499999999999</v>
      </c>
      <c r="C258">
        <v>14.0677</v>
      </c>
      <c r="D258">
        <v>0.93759999999999999</v>
      </c>
      <c r="E258">
        <v>6.9409000000000001</v>
      </c>
      <c r="F258">
        <v>2.3999999999999998E-3</v>
      </c>
      <c r="G258">
        <v>9.9000000000000008E-3</v>
      </c>
      <c r="H258">
        <v>700</v>
      </c>
      <c r="I258">
        <v>6.9005000000000001</v>
      </c>
      <c r="J258">
        <v>6.8353999999999999</v>
      </c>
      <c r="K258">
        <v>1.0095000000000001</v>
      </c>
      <c r="L258" s="26">
        <v>4.2199999999999999E-10</v>
      </c>
      <c r="M258" s="26">
        <v>4.2799999999999998E-14</v>
      </c>
      <c r="N258" s="26">
        <v>6.2800000000000005E-11</v>
      </c>
      <c r="O258" s="26">
        <v>7.7699999999999994E-12</v>
      </c>
      <c r="P258" s="26">
        <v>1.42E-14</v>
      </c>
      <c r="Q258" s="26">
        <v>4.7899999999999997E-11</v>
      </c>
    </row>
    <row r="259" spans="1:17" x14ac:dyDescent="0.3">
      <c r="A259" t="s">
        <v>303</v>
      </c>
      <c r="B259">
        <v>78.137100000000004</v>
      </c>
      <c r="C259">
        <v>13.946099999999999</v>
      </c>
      <c r="D259">
        <v>0.93889999999999996</v>
      </c>
      <c r="E259">
        <v>6.9641999999999999</v>
      </c>
      <c r="F259">
        <v>3.3999999999999998E-3</v>
      </c>
      <c r="G259">
        <v>1.03E-2</v>
      </c>
      <c r="H259">
        <v>719</v>
      </c>
      <c r="I259">
        <v>6.9164000000000003</v>
      </c>
      <c r="J259">
        <v>6.9741</v>
      </c>
      <c r="K259">
        <v>0.99170000000000003</v>
      </c>
      <c r="L259" s="26">
        <v>4.2399999999999998E-10</v>
      </c>
      <c r="M259" s="26">
        <v>4.4299999999999998E-14</v>
      </c>
      <c r="N259" s="26">
        <v>6.2399999999999999E-11</v>
      </c>
      <c r="O259" s="26">
        <v>7.7899999999999997E-12</v>
      </c>
      <c r="P259" s="26">
        <v>1.66E-14</v>
      </c>
      <c r="Q259" s="26">
        <v>4.8199999999999999E-11</v>
      </c>
    </row>
    <row r="260" spans="1:17" x14ac:dyDescent="0.3">
      <c r="A260" t="s">
        <v>304</v>
      </c>
      <c r="B260">
        <v>96.192899999999995</v>
      </c>
      <c r="C260">
        <v>2.2381000000000002</v>
      </c>
      <c r="D260">
        <v>0.12609999999999999</v>
      </c>
      <c r="E260">
        <v>1.4222999999999999</v>
      </c>
      <c r="F260">
        <v>3.3999999999999998E-3</v>
      </c>
      <c r="G260">
        <v>1.72E-2</v>
      </c>
      <c r="H260">
        <v>0</v>
      </c>
      <c r="I260">
        <v>1.1093999999999999</v>
      </c>
      <c r="J260">
        <v>19.099799999999998</v>
      </c>
      <c r="K260">
        <v>5.8099999999999999E-2</v>
      </c>
      <c r="L260" s="26">
        <v>4.9500000000000005E-10</v>
      </c>
      <c r="M260" s="26">
        <v>6.4000000000000005E-14</v>
      </c>
      <c r="N260" s="26">
        <v>9.5800000000000008E-12</v>
      </c>
      <c r="O260" s="26">
        <v>9.9999999999999998E-13</v>
      </c>
      <c r="P260" s="26">
        <v>1.42E-14</v>
      </c>
      <c r="Q260" s="26">
        <v>9.3899999999999994E-12</v>
      </c>
    </row>
    <row r="261" spans="1:17" x14ac:dyDescent="0.3">
      <c r="A261" t="s">
        <v>305</v>
      </c>
      <c r="B261">
        <v>96.230800000000002</v>
      </c>
      <c r="C261">
        <v>2.2235999999999998</v>
      </c>
      <c r="D261">
        <v>0.1207</v>
      </c>
      <c r="E261">
        <v>1.4034</v>
      </c>
      <c r="F261">
        <v>3.5000000000000001E-3</v>
      </c>
      <c r="G261">
        <v>1.8100000000000002E-2</v>
      </c>
      <c r="H261">
        <v>0</v>
      </c>
      <c r="I261">
        <v>1.0945</v>
      </c>
      <c r="J261">
        <v>19.113</v>
      </c>
      <c r="K261">
        <v>5.7299999999999997E-2</v>
      </c>
      <c r="L261" s="26">
        <v>4.9500000000000005E-10</v>
      </c>
      <c r="M261" s="26">
        <v>6.7300000000000001E-14</v>
      </c>
      <c r="N261" s="26">
        <v>9.5099999999999997E-12</v>
      </c>
      <c r="O261" s="26">
        <v>9.5799999999999996E-13</v>
      </c>
      <c r="P261" s="26">
        <v>1.4500000000000001E-14</v>
      </c>
      <c r="Q261" s="26">
        <v>9.2600000000000005E-12</v>
      </c>
    </row>
    <row r="262" spans="1:17" x14ac:dyDescent="0.3">
      <c r="A262" t="s">
        <v>306</v>
      </c>
      <c r="B262">
        <v>96.097700000000003</v>
      </c>
      <c r="C262">
        <v>2.3582999999999998</v>
      </c>
      <c r="D262">
        <v>0.1293</v>
      </c>
      <c r="E262">
        <v>1.3945000000000001</v>
      </c>
      <c r="F262">
        <v>2E-3</v>
      </c>
      <c r="G262">
        <v>1.83E-2</v>
      </c>
      <c r="H262">
        <v>0</v>
      </c>
      <c r="I262">
        <v>1.0888</v>
      </c>
      <c r="J262">
        <v>18.995999999999999</v>
      </c>
      <c r="K262">
        <v>5.7299999999999997E-2</v>
      </c>
      <c r="L262" s="26">
        <v>4.9399999999999995E-10</v>
      </c>
      <c r="M262" s="26">
        <v>6.7799999999999999E-14</v>
      </c>
      <c r="N262" s="26">
        <v>1.0099999999999999E-11</v>
      </c>
      <c r="O262" s="26">
        <v>1.0300000000000001E-12</v>
      </c>
      <c r="P262" s="26">
        <v>1.15E-14</v>
      </c>
      <c r="Q262" s="26">
        <v>9.1999999999999996E-12</v>
      </c>
    </row>
    <row r="263" spans="1:17" x14ac:dyDescent="0.3">
      <c r="A263" t="s">
        <v>307</v>
      </c>
      <c r="B263">
        <v>96.022900000000007</v>
      </c>
      <c r="C263">
        <v>2.4540999999999999</v>
      </c>
      <c r="D263">
        <v>0.1338</v>
      </c>
      <c r="E263">
        <v>1.3686</v>
      </c>
      <c r="F263">
        <v>2.3E-3</v>
      </c>
      <c r="G263">
        <v>1.8200000000000001E-2</v>
      </c>
      <c r="H263">
        <v>0</v>
      </c>
      <c r="I263">
        <v>1.0681</v>
      </c>
      <c r="J263">
        <v>18.921399999999998</v>
      </c>
      <c r="K263">
        <v>5.6500000000000002E-2</v>
      </c>
      <c r="L263" s="26">
        <v>4.9399999999999995E-10</v>
      </c>
      <c r="M263" s="26">
        <v>6.7700000000000004E-14</v>
      </c>
      <c r="N263" s="26">
        <v>1.0499999999999999E-11</v>
      </c>
      <c r="O263" s="26">
        <v>1.0599999999999999E-12</v>
      </c>
      <c r="P263" s="26">
        <v>1.2199999999999999E-14</v>
      </c>
      <c r="Q263" s="26">
        <v>9.0300000000000001E-12</v>
      </c>
    </row>
    <row r="264" spans="1:17" x14ac:dyDescent="0.3">
      <c r="A264" t="s">
        <v>308</v>
      </c>
      <c r="B264">
        <v>95.928100000000001</v>
      </c>
      <c r="C264">
        <v>2.5590000000000002</v>
      </c>
      <c r="D264">
        <v>0.13769999999999999</v>
      </c>
      <c r="E264">
        <v>1.3540000000000001</v>
      </c>
      <c r="F264">
        <v>3.0000000000000001E-3</v>
      </c>
      <c r="G264">
        <v>1.8200000000000001E-2</v>
      </c>
      <c r="H264">
        <v>0</v>
      </c>
      <c r="I264">
        <v>1.0581</v>
      </c>
      <c r="J264">
        <v>18.833300000000001</v>
      </c>
      <c r="K264">
        <v>5.62E-2</v>
      </c>
      <c r="L264" s="26">
        <v>4.9299999999999995E-10</v>
      </c>
      <c r="M264" s="26">
        <v>6.7900000000000006E-14</v>
      </c>
      <c r="N264" s="26">
        <v>1.0899999999999999E-11</v>
      </c>
      <c r="O264" s="26">
        <v>1.09E-12</v>
      </c>
      <c r="P264" s="26">
        <v>1.3499999999999999E-14</v>
      </c>
      <c r="Q264" s="26">
        <v>8.9400000000000003E-12</v>
      </c>
    </row>
    <row r="265" spans="1:17" x14ac:dyDescent="0.3">
      <c r="A265" t="s">
        <v>309</v>
      </c>
      <c r="B265">
        <v>95.718400000000003</v>
      </c>
      <c r="C265">
        <v>2.7820999999999998</v>
      </c>
      <c r="D265">
        <v>0.14680000000000001</v>
      </c>
      <c r="E265">
        <v>1.3315999999999999</v>
      </c>
      <c r="F265">
        <v>3.3E-3</v>
      </c>
      <c r="G265">
        <v>1.78E-2</v>
      </c>
      <c r="H265">
        <v>0</v>
      </c>
      <c r="I265">
        <v>1.0419</v>
      </c>
      <c r="J265">
        <v>18.645</v>
      </c>
      <c r="K265">
        <v>5.5899999999999998E-2</v>
      </c>
      <c r="L265" s="26">
        <v>4.9299999999999995E-10</v>
      </c>
      <c r="M265" s="26">
        <v>6.6300000000000005E-14</v>
      </c>
      <c r="N265" s="26">
        <v>1.1900000000000001E-11</v>
      </c>
      <c r="O265" s="26">
        <v>1.1700000000000001E-12</v>
      </c>
      <c r="P265" s="26">
        <v>1.41E-14</v>
      </c>
      <c r="Q265" s="26">
        <v>8.7999999999999997E-12</v>
      </c>
    </row>
    <row r="266" spans="1:17" x14ac:dyDescent="0.3">
      <c r="A266" t="s">
        <v>310</v>
      </c>
      <c r="B266">
        <v>95.701999999999998</v>
      </c>
      <c r="C266">
        <v>2.7724000000000002</v>
      </c>
      <c r="D266">
        <v>0.1469</v>
      </c>
      <c r="E266">
        <v>1.3587</v>
      </c>
      <c r="F266">
        <v>1.6000000000000001E-3</v>
      </c>
      <c r="G266">
        <v>1.8499999999999999E-2</v>
      </c>
      <c r="H266">
        <v>0</v>
      </c>
      <c r="I266">
        <v>1.0640000000000001</v>
      </c>
      <c r="J266">
        <v>18.6463</v>
      </c>
      <c r="K266">
        <v>5.7099999999999998E-2</v>
      </c>
      <c r="L266" s="26">
        <v>4.9199999999999996E-10</v>
      </c>
      <c r="M266" s="26">
        <v>6.8799999999999995E-14</v>
      </c>
      <c r="N266" s="26">
        <v>1.1900000000000001E-11</v>
      </c>
      <c r="O266" s="26">
        <v>1.1700000000000001E-12</v>
      </c>
      <c r="P266" s="26">
        <v>1.06E-14</v>
      </c>
      <c r="Q266" s="26">
        <v>8.9600000000000006E-12</v>
      </c>
    </row>
    <row r="267" spans="1:17" x14ac:dyDescent="0.3">
      <c r="A267" t="s">
        <v>311</v>
      </c>
      <c r="B267">
        <v>77.417299999999997</v>
      </c>
      <c r="C267">
        <v>14.7013</v>
      </c>
      <c r="D267">
        <v>0.92410000000000003</v>
      </c>
      <c r="E267">
        <v>6.9455</v>
      </c>
      <c r="F267">
        <v>2.0999999999999999E-3</v>
      </c>
      <c r="G267">
        <v>9.7000000000000003E-3</v>
      </c>
      <c r="H267">
        <v>166</v>
      </c>
      <c r="I267">
        <v>6.9621000000000004</v>
      </c>
      <c r="J267">
        <v>6.0830000000000002</v>
      </c>
      <c r="K267">
        <v>1.1445000000000001</v>
      </c>
      <c r="L267" s="26">
        <v>4.0200000000000001E-10</v>
      </c>
      <c r="M267" s="26">
        <v>4.0499999999999998E-14</v>
      </c>
      <c r="N267" s="26">
        <v>6.3000000000000002E-11</v>
      </c>
      <c r="O267" s="26">
        <v>7.3500000000000008E-12</v>
      </c>
      <c r="P267" s="26">
        <v>1.2900000000000001E-14</v>
      </c>
      <c r="Q267" s="26">
        <v>4.6000000000000003E-11</v>
      </c>
    </row>
    <row r="268" spans="1:17" x14ac:dyDescent="0.3">
      <c r="A268" t="s">
        <v>312</v>
      </c>
      <c r="B268">
        <v>95.715900000000005</v>
      </c>
      <c r="C268">
        <v>2.7673000000000001</v>
      </c>
      <c r="D268">
        <v>0.1482</v>
      </c>
      <c r="E268">
        <v>1.3475999999999999</v>
      </c>
      <c r="F268">
        <v>3.3999999999999998E-3</v>
      </c>
      <c r="G268">
        <v>1.77E-2</v>
      </c>
      <c r="H268">
        <v>0</v>
      </c>
      <c r="I268">
        <v>1.0543</v>
      </c>
      <c r="J268">
        <v>18.6646</v>
      </c>
      <c r="K268">
        <v>5.6500000000000002E-2</v>
      </c>
      <c r="L268" s="26">
        <v>4.9199999999999996E-10</v>
      </c>
      <c r="M268" s="26">
        <v>6.5900000000000002E-14</v>
      </c>
      <c r="N268" s="26">
        <v>1.1800000000000001E-11</v>
      </c>
      <c r="O268" s="26">
        <v>1.1700000000000001E-12</v>
      </c>
      <c r="P268" s="26">
        <v>1.42E-14</v>
      </c>
      <c r="Q268" s="26">
        <v>8.8899999999999995E-12</v>
      </c>
    </row>
    <row r="269" spans="1:17" x14ac:dyDescent="0.3">
      <c r="A269" t="s">
        <v>313</v>
      </c>
      <c r="B269">
        <v>76.719099999999997</v>
      </c>
      <c r="C269">
        <v>17.053799999999999</v>
      </c>
      <c r="D269">
        <v>0.92349999999999999</v>
      </c>
      <c r="E269">
        <v>5.2808000000000002</v>
      </c>
      <c r="F269">
        <v>3.0999999999999999E-3</v>
      </c>
      <c r="G269">
        <v>1.9599999999999999E-2</v>
      </c>
      <c r="H269">
        <v>732</v>
      </c>
      <c r="I269">
        <v>5.3308999999999997</v>
      </c>
      <c r="J269">
        <v>3.5594999999999999</v>
      </c>
      <c r="K269">
        <v>1.4977</v>
      </c>
      <c r="L269" s="26">
        <v>4.1400000000000002E-10</v>
      </c>
      <c r="M269" s="26">
        <v>8.1100000000000003E-14</v>
      </c>
      <c r="N269" s="26">
        <v>7.5999999999999996E-11</v>
      </c>
      <c r="O269" s="26">
        <v>7.6400000000000006E-12</v>
      </c>
      <c r="P269" s="26">
        <v>1.7500000000000001E-14</v>
      </c>
      <c r="Q269" s="26">
        <v>3.6399999999999998E-11</v>
      </c>
    </row>
    <row r="270" spans="1:17" x14ac:dyDescent="0.3">
      <c r="A270" t="s">
        <v>314</v>
      </c>
      <c r="B270">
        <v>76.690399999999997</v>
      </c>
      <c r="C270">
        <v>18.473400000000002</v>
      </c>
      <c r="D270">
        <v>0.92249999999999999</v>
      </c>
      <c r="E270">
        <v>3.8540000000000001</v>
      </c>
      <c r="F270">
        <v>4.7000000000000002E-3</v>
      </c>
      <c r="G270">
        <v>5.4899999999999997E-2</v>
      </c>
      <c r="H270">
        <v>743</v>
      </c>
      <c r="I270">
        <v>3.8803999999999998</v>
      </c>
      <c r="J270">
        <v>2.0962000000000001</v>
      </c>
      <c r="K270">
        <v>1.8512</v>
      </c>
      <c r="L270" s="26">
        <v>4.1300000000000002E-10</v>
      </c>
      <c r="M270" s="26">
        <v>2.1700000000000001E-13</v>
      </c>
      <c r="N270" s="26">
        <v>8.2199999999999998E-11</v>
      </c>
      <c r="O270" s="26">
        <v>7.6200000000000002E-12</v>
      </c>
      <c r="P270" s="26">
        <v>3.1E-14</v>
      </c>
      <c r="Q270" s="26">
        <v>2.6499999999999999E-11</v>
      </c>
    </row>
    <row r="271" spans="1:17" x14ac:dyDescent="0.3">
      <c r="A271" t="s">
        <v>315</v>
      </c>
      <c r="B271">
        <v>76.898600000000002</v>
      </c>
      <c r="C271">
        <v>18.937799999999999</v>
      </c>
      <c r="D271">
        <v>0.92959999999999998</v>
      </c>
      <c r="E271">
        <v>3.1587000000000001</v>
      </c>
      <c r="F271">
        <v>7.1999999999999998E-3</v>
      </c>
      <c r="G271">
        <v>6.8099999999999994E-2</v>
      </c>
      <c r="H271">
        <v>404</v>
      </c>
      <c r="I271">
        <v>3.1635</v>
      </c>
      <c r="J271">
        <v>1.6807000000000001</v>
      </c>
      <c r="K271">
        <v>1.8822000000000001</v>
      </c>
      <c r="L271" s="26">
        <v>3.9900000000000002E-10</v>
      </c>
      <c r="M271" s="26">
        <v>2.5900000000000001E-13</v>
      </c>
      <c r="N271" s="26">
        <v>8.1300000000000006E-11</v>
      </c>
      <c r="O271" s="26">
        <v>7.4100000000000001E-12</v>
      </c>
      <c r="P271" s="26">
        <v>3.8600000000000001E-14</v>
      </c>
      <c r="Q271" s="26">
        <v>2.0999999999999999E-11</v>
      </c>
    </row>
    <row r="272" spans="1:17" x14ac:dyDescent="0.3">
      <c r="A272" t="s">
        <v>316</v>
      </c>
      <c r="B272">
        <v>77.2834</v>
      </c>
      <c r="C272">
        <v>19.013999999999999</v>
      </c>
      <c r="D272">
        <v>0.92949999999999999</v>
      </c>
      <c r="E272">
        <v>2.6981000000000002</v>
      </c>
      <c r="F272">
        <v>5.3E-3</v>
      </c>
      <c r="G272">
        <v>6.9699999999999998E-2</v>
      </c>
      <c r="H272">
        <v>733</v>
      </c>
      <c r="I272">
        <v>2.6819999999999999</v>
      </c>
      <c r="J272">
        <v>1.7037</v>
      </c>
      <c r="K272">
        <v>1.5742</v>
      </c>
      <c r="L272" s="26">
        <v>4.1600000000000001E-10</v>
      </c>
      <c r="M272" s="26">
        <v>2.7499999999999999E-13</v>
      </c>
      <c r="N272" s="26">
        <v>8.4700000000000002E-11</v>
      </c>
      <c r="O272" s="26">
        <v>7.6899999999999997E-12</v>
      </c>
      <c r="P272" s="26">
        <v>3.5999999999999998E-14</v>
      </c>
      <c r="Q272" s="26">
        <v>1.8599999999999999E-11</v>
      </c>
    </row>
    <row r="273" spans="1:17" x14ac:dyDescent="0.3">
      <c r="A273" t="s">
        <v>317</v>
      </c>
      <c r="B273">
        <v>77.510999999999996</v>
      </c>
      <c r="C273">
        <v>19.077400000000001</v>
      </c>
      <c r="D273">
        <v>0.93400000000000005</v>
      </c>
      <c r="E273">
        <v>2.4060000000000001</v>
      </c>
      <c r="F273">
        <v>5.4999999999999997E-3</v>
      </c>
      <c r="G273">
        <v>6.6000000000000003E-2</v>
      </c>
      <c r="H273">
        <v>593</v>
      </c>
      <c r="I273">
        <v>2.3797999999999999</v>
      </c>
      <c r="J273">
        <v>1.6969000000000001</v>
      </c>
      <c r="K273">
        <v>1.4025000000000001</v>
      </c>
      <c r="L273" s="26">
        <v>4.1099999999999998E-10</v>
      </c>
      <c r="M273" s="26">
        <v>2.5600000000000002E-13</v>
      </c>
      <c r="N273" s="26">
        <v>8.3600000000000001E-11</v>
      </c>
      <c r="O273" s="26">
        <v>7.5999999999999999E-12</v>
      </c>
      <c r="P273" s="26">
        <v>3.4599999999999999E-14</v>
      </c>
      <c r="Q273" s="26">
        <v>1.6300000000000001E-11</v>
      </c>
    </row>
    <row r="274" spans="1:17" x14ac:dyDescent="0.3">
      <c r="A274" t="s">
        <v>318</v>
      </c>
      <c r="B274">
        <v>77.7928</v>
      </c>
      <c r="C274">
        <v>19.022099999999998</v>
      </c>
      <c r="D274">
        <v>0.93569999999999998</v>
      </c>
      <c r="E274">
        <v>2.1802000000000001</v>
      </c>
      <c r="F274">
        <v>6.3E-3</v>
      </c>
      <c r="G274">
        <v>6.2799999999999995E-2</v>
      </c>
      <c r="H274">
        <v>728</v>
      </c>
      <c r="I274">
        <v>2.1438999999999999</v>
      </c>
      <c r="J274">
        <v>1.8222</v>
      </c>
      <c r="K274">
        <v>1.1766000000000001</v>
      </c>
      <c r="L274" s="26">
        <v>4.2E-10</v>
      </c>
      <c r="M274" s="26">
        <v>2.49E-13</v>
      </c>
      <c r="N274" s="26">
        <v>8.5000000000000004E-11</v>
      </c>
      <c r="O274" s="26">
        <v>7.7599999999999992E-12</v>
      </c>
      <c r="P274" s="26">
        <v>3.5899999999999997E-14</v>
      </c>
      <c r="Q274" s="26">
        <v>1.5100000000000001E-11</v>
      </c>
    </row>
    <row r="275" spans="1:17" x14ac:dyDescent="0.3">
      <c r="A275" t="s">
        <v>319</v>
      </c>
      <c r="B275">
        <v>78.046099999999996</v>
      </c>
      <c r="C275">
        <v>18.9238</v>
      </c>
      <c r="D275">
        <v>0.93899999999999995</v>
      </c>
      <c r="E275">
        <v>2.0272999999999999</v>
      </c>
      <c r="F275">
        <v>5.0000000000000001E-3</v>
      </c>
      <c r="G275">
        <v>5.8799999999999998E-2</v>
      </c>
      <c r="H275">
        <v>718</v>
      </c>
      <c r="I275">
        <v>1.9843999999999999</v>
      </c>
      <c r="J275">
        <v>1.9817</v>
      </c>
      <c r="K275">
        <v>1.0013000000000001</v>
      </c>
      <c r="L275" s="26">
        <v>4.2099999999999999E-10</v>
      </c>
      <c r="M275" s="26">
        <v>2.3300000000000002E-13</v>
      </c>
      <c r="N275" s="26">
        <v>8.4599999999999997E-11</v>
      </c>
      <c r="O275" s="26">
        <v>7.7899999999999997E-12</v>
      </c>
      <c r="P275" s="26">
        <v>3.17E-14</v>
      </c>
      <c r="Q275" s="26">
        <v>1.4E-11</v>
      </c>
    </row>
    <row r="276" spans="1:17" x14ac:dyDescent="0.3">
      <c r="A276" t="s">
        <v>320</v>
      </c>
      <c r="B276">
        <v>78.226399999999998</v>
      </c>
      <c r="C276">
        <v>18.8385</v>
      </c>
      <c r="D276">
        <v>0.94089999999999996</v>
      </c>
      <c r="E276">
        <v>1.9333</v>
      </c>
      <c r="F276">
        <v>5.4000000000000003E-3</v>
      </c>
      <c r="G276">
        <v>5.5599999999999997E-2</v>
      </c>
      <c r="H276">
        <v>712</v>
      </c>
      <c r="I276">
        <v>1.8854</v>
      </c>
      <c r="J276">
        <v>2.1101000000000001</v>
      </c>
      <c r="K276">
        <v>0.89349999999999996</v>
      </c>
      <c r="L276" s="26">
        <v>4.2299999999999999E-10</v>
      </c>
      <c r="M276" s="26">
        <v>2.2099999999999999E-13</v>
      </c>
      <c r="N276" s="26">
        <v>8.4299999999999996E-11</v>
      </c>
      <c r="O276" s="26">
        <v>7.81E-12</v>
      </c>
      <c r="P276" s="26">
        <v>3.1399999999999997E-14</v>
      </c>
      <c r="Q276" s="26">
        <v>1.34E-11</v>
      </c>
    </row>
    <row r="277" spans="1:17" x14ac:dyDescent="0.3">
      <c r="A277" t="s">
        <v>321</v>
      </c>
      <c r="B277">
        <v>78.371700000000004</v>
      </c>
      <c r="C277">
        <v>18.7715</v>
      </c>
      <c r="D277">
        <v>0.94330000000000003</v>
      </c>
      <c r="E277">
        <v>1.8563000000000001</v>
      </c>
      <c r="F277">
        <v>4.7999999999999996E-3</v>
      </c>
      <c r="G277">
        <v>5.2499999999999998E-2</v>
      </c>
      <c r="H277">
        <v>734</v>
      </c>
      <c r="I277">
        <v>1.8056000000000001</v>
      </c>
      <c r="J277">
        <v>2.2096</v>
      </c>
      <c r="K277">
        <v>0.81720000000000004</v>
      </c>
      <c r="L277" s="26">
        <v>4.2299999999999999E-10</v>
      </c>
      <c r="M277" s="26">
        <v>2.0899999999999999E-13</v>
      </c>
      <c r="N277" s="26">
        <v>8.3999999999999994E-11</v>
      </c>
      <c r="O277" s="26">
        <v>7.8300000000000004E-12</v>
      </c>
      <c r="P277" s="26">
        <v>2.9099999999999997E-14</v>
      </c>
      <c r="Q277" s="26">
        <v>1.29E-11</v>
      </c>
    </row>
    <row r="278" spans="1:17" x14ac:dyDescent="0.3">
      <c r="A278" t="s">
        <v>322</v>
      </c>
      <c r="B278">
        <v>78.481800000000007</v>
      </c>
      <c r="C278">
        <v>18.717600000000001</v>
      </c>
      <c r="D278">
        <v>0.94359999999999999</v>
      </c>
      <c r="E278">
        <v>1.8041</v>
      </c>
      <c r="F278">
        <v>3.3E-3</v>
      </c>
      <c r="G278">
        <v>4.9500000000000002E-2</v>
      </c>
      <c r="H278">
        <v>725</v>
      </c>
      <c r="I278">
        <v>1.7509999999999999</v>
      </c>
      <c r="J278">
        <v>2.2865000000000002</v>
      </c>
      <c r="K278">
        <v>0.76580000000000004</v>
      </c>
      <c r="L278" s="26">
        <v>4.2399999999999998E-10</v>
      </c>
      <c r="M278" s="26">
        <v>1.9799999999999999E-13</v>
      </c>
      <c r="N278" s="26">
        <v>8.3799999999999998E-11</v>
      </c>
      <c r="O278" s="26">
        <v>7.8400000000000005E-12</v>
      </c>
      <c r="P278" s="26">
        <v>2.5000000000000001E-14</v>
      </c>
      <c r="Q278" s="26">
        <v>1.25E-11</v>
      </c>
    </row>
    <row r="279" spans="1:17" x14ac:dyDescent="0.3">
      <c r="A279" t="s">
        <v>323</v>
      </c>
      <c r="B279">
        <v>78.557100000000005</v>
      </c>
      <c r="C279">
        <v>18.684200000000001</v>
      </c>
      <c r="D279">
        <v>0.94499999999999995</v>
      </c>
      <c r="E279">
        <v>1.7625</v>
      </c>
      <c r="F279">
        <v>3.8E-3</v>
      </c>
      <c r="G279">
        <v>4.7399999999999998E-2</v>
      </c>
      <c r="H279">
        <v>726</v>
      </c>
      <c r="I279">
        <v>1.7072000000000001</v>
      </c>
      <c r="J279">
        <v>2.3466999999999998</v>
      </c>
      <c r="K279">
        <v>0.72750000000000004</v>
      </c>
      <c r="L279" s="26">
        <v>4.2499999999999998E-10</v>
      </c>
      <c r="M279" s="26">
        <v>1.89E-13</v>
      </c>
      <c r="N279" s="26">
        <v>8.3700000000000006E-11</v>
      </c>
      <c r="O279" s="26">
        <v>7.8500000000000007E-12</v>
      </c>
      <c r="P279" s="26">
        <v>2.53E-14</v>
      </c>
      <c r="Q279" s="26">
        <v>1.2200000000000001E-11</v>
      </c>
    </row>
    <row r="280" spans="1:17" x14ac:dyDescent="0.3">
      <c r="A280" t="s">
        <v>324</v>
      </c>
      <c r="B280">
        <v>78.615700000000004</v>
      </c>
      <c r="C280">
        <v>18.654800000000002</v>
      </c>
      <c r="D280">
        <v>0.94589999999999996</v>
      </c>
      <c r="E280">
        <v>1.7326999999999999</v>
      </c>
      <c r="F280">
        <v>4.7000000000000002E-3</v>
      </c>
      <c r="G280">
        <v>4.6199999999999998E-2</v>
      </c>
      <c r="H280">
        <v>717</v>
      </c>
      <c r="I280">
        <v>1.6765000000000001</v>
      </c>
      <c r="J280">
        <v>2.3843000000000001</v>
      </c>
      <c r="K280">
        <v>0.70309999999999995</v>
      </c>
      <c r="L280" s="26">
        <v>4.2499999999999998E-10</v>
      </c>
      <c r="M280" s="26">
        <v>1.8499999999999999E-13</v>
      </c>
      <c r="N280" s="26">
        <v>8.3499999999999996E-11</v>
      </c>
      <c r="O280" s="26">
        <v>7.8599999999999992E-12</v>
      </c>
      <c r="P280" s="26">
        <v>2.6900000000000001E-14</v>
      </c>
      <c r="Q280" s="26">
        <v>1.2000000000000001E-11</v>
      </c>
    </row>
    <row r="281" spans="1:17" x14ac:dyDescent="0.3">
      <c r="A281" t="s">
        <v>325</v>
      </c>
      <c r="B281">
        <v>78.653000000000006</v>
      </c>
      <c r="C281">
        <v>18.6449</v>
      </c>
      <c r="D281">
        <v>0.94679999999999997</v>
      </c>
      <c r="E281">
        <v>1.7062999999999999</v>
      </c>
      <c r="F281">
        <v>4.3E-3</v>
      </c>
      <c r="G281">
        <v>4.4600000000000001E-2</v>
      </c>
      <c r="H281">
        <v>714</v>
      </c>
      <c r="I281">
        <v>1.6496</v>
      </c>
      <c r="J281">
        <v>2.4075000000000002</v>
      </c>
      <c r="K281">
        <v>0.68520000000000003</v>
      </c>
      <c r="L281" s="26">
        <v>4.2499999999999998E-10</v>
      </c>
      <c r="M281" s="26">
        <v>1.7899999999999999E-13</v>
      </c>
      <c r="N281" s="26">
        <v>8.3499999999999996E-11</v>
      </c>
      <c r="O281" s="26">
        <v>7.8699999999999994E-12</v>
      </c>
      <c r="P281" s="26">
        <v>2.5599999999999999E-14</v>
      </c>
      <c r="Q281" s="26">
        <v>1.1800000000000001E-11</v>
      </c>
    </row>
    <row r="282" spans="1:17" x14ac:dyDescent="0.3">
      <c r="A282" t="s">
        <v>326</v>
      </c>
      <c r="B282">
        <v>78.667400000000001</v>
      </c>
      <c r="C282">
        <v>18.6586</v>
      </c>
      <c r="D282">
        <v>0.94640000000000002</v>
      </c>
      <c r="E282">
        <v>1.68</v>
      </c>
      <c r="F282">
        <v>5.1000000000000004E-3</v>
      </c>
      <c r="G282">
        <v>4.2500000000000003E-2</v>
      </c>
      <c r="H282">
        <v>710</v>
      </c>
      <c r="I282">
        <v>1.6236999999999999</v>
      </c>
      <c r="J282">
        <v>2.3961999999999999</v>
      </c>
      <c r="K282">
        <v>0.67759999999999998</v>
      </c>
      <c r="L282" s="26">
        <v>4.2599999999999998E-10</v>
      </c>
      <c r="M282" s="26">
        <v>1.71E-13</v>
      </c>
      <c r="N282" s="26">
        <v>8.3600000000000001E-11</v>
      </c>
      <c r="O282" s="26">
        <v>7.8699999999999994E-12</v>
      </c>
      <c r="P282" s="26">
        <v>2.6500000000000001E-14</v>
      </c>
      <c r="Q282" s="26">
        <v>1.1700000000000001E-11</v>
      </c>
    </row>
    <row r="283" spans="1:17" x14ac:dyDescent="0.3">
      <c r="A283" t="s">
        <v>327</v>
      </c>
      <c r="B283">
        <v>78.651399999999995</v>
      </c>
      <c r="C283">
        <v>18.711600000000001</v>
      </c>
      <c r="D283">
        <v>0.94630000000000003</v>
      </c>
      <c r="E283">
        <v>1.645</v>
      </c>
      <c r="F283">
        <v>4.5999999999999999E-3</v>
      </c>
      <c r="G283">
        <v>4.1200000000000001E-2</v>
      </c>
      <c r="H283">
        <v>704</v>
      </c>
      <c r="I283">
        <v>1.5875999999999999</v>
      </c>
      <c r="J283">
        <v>2.3445</v>
      </c>
      <c r="K283">
        <v>0.67720000000000002</v>
      </c>
      <c r="L283" s="26">
        <v>4.2599999999999998E-10</v>
      </c>
      <c r="M283" s="26">
        <v>1.66E-13</v>
      </c>
      <c r="N283" s="26">
        <v>8.3900000000000002E-11</v>
      </c>
      <c r="O283" s="26">
        <v>7.8699999999999994E-12</v>
      </c>
      <c r="P283" s="26">
        <v>2.5000000000000001E-14</v>
      </c>
      <c r="Q283" s="26">
        <v>1.1400000000000001E-11</v>
      </c>
    </row>
    <row r="284" spans="1:17" x14ac:dyDescent="0.3">
      <c r="A284" t="s">
        <v>328</v>
      </c>
      <c r="B284">
        <v>78.570700000000002</v>
      </c>
      <c r="C284">
        <v>18.840599999999998</v>
      </c>
      <c r="D284">
        <v>0.94599999999999995</v>
      </c>
      <c r="E284">
        <v>1.5972999999999999</v>
      </c>
      <c r="F284">
        <v>5.5999999999999999E-3</v>
      </c>
      <c r="G284">
        <v>3.9800000000000002E-2</v>
      </c>
      <c r="H284">
        <v>729</v>
      </c>
      <c r="I284">
        <v>1.5427</v>
      </c>
      <c r="J284">
        <v>2.1922999999999999</v>
      </c>
      <c r="K284">
        <v>0.70369999999999999</v>
      </c>
      <c r="L284" s="26">
        <v>4.2499999999999998E-10</v>
      </c>
      <c r="M284" s="26">
        <v>1.6E-13</v>
      </c>
      <c r="N284" s="26">
        <v>8.4500000000000005E-11</v>
      </c>
      <c r="O284" s="26">
        <v>7.8699999999999994E-12</v>
      </c>
      <c r="P284" s="26">
        <v>2.6900000000000001E-14</v>
      </c>
      <c r="Q284" s="26">
        <v>1.1100000000000001E-11</v>
      </c>
    </row>
    <row r="285" spans="1:17" x14ac:dyDescent="0.3">
      <c r="A285" t="s">
        <v>329</v>
      </c>
      <c r="B285">
        <v>78.363</v>
      </c>
      <c r="C285">
        <v>19.129899999999999</v>
      </c>
      <c r="D285">
        <v>0.94259999999999999</v>
      </c>
      <c r="E285">
        <v>1.5210999999999999</v>
      </c>
      <c r="F285">
        <v>4.4999999999999997E-3</v>
      </c>
      <c r="G285">
        <v>3.9E-2</v>
      </c>
      <c r="H285">
        <v>726</v>
      </c>
      <c r="I285">
        <v>1.4717</v>
      </c>
      <c r="J285">
        <v>1.8512999999999999</v>
      </c>
      <c r="K285">
        <v>0.79490000000000005</v>
      </c>
      <c r="L285" s="26">
        <v>4.2399999999999998E-10</v>
      </c>
      <c r="M285" s="26">
        <v>1.5700000000000001E-13</v>
      </c>
      <c r="N285" s="26">
        <v>8.5800000000000004E-11</v>
      </c>
      <c r="O285" s="26">
        <v>7.8500000000000007E-12</v>
      </c>
      <c r="P285" s="26">
        <v>2.3999999999999999E-14</v>
      </c>
      <c r="Q285" s="26">
        <v>1.0599999999999999E-11</v>
      </c>
    </row>
    <row r="286" spans="1:17" x14ac:dyDescent="0.3">
      <c r="A286" t="s">
        <v>330</v>
      </c>
      <c r="B286">
        <v>78.134699999999995</v>
      </c>
      <c r="C286">
        <v>19.457899999999999</v>
      </c>
      <c r="D286">
        <v>0.94</v>
      </c>
      <c r="E286">
        <v>1.4261999999999999</v>
      </c>
      <c r="F286">
        <v>4.1000000000000003E-3</v>
      </c>
      <c r="G286">
        <v>3.7199999999999997E-2</v>
      </c>
      <c r="H286">
        <v>718</v>
      </c>
      <c r="I286">
        <v>1.381</v>
      </c>
      <c r="J286">
        <v>1.4684999999999999</v>
      </c>
      <c r="K286">
        <v>0.94040000000000001</v>
      </c>
      <c r="L286" s="26">
        <v>4.2299999999999999E-10</v>
      </c>
      <c r="M286" s="26">
        <v>1.4999999999999999E-13</v>
      </c>
      <c r="N286" s="26">
        <v>8.7299999999999998E-11</v>
      </c>
      <c r="O286" s="26">
        <v>7.8200000000000002E-12</v>
      </c>
      <c r="P286" s="26">
        <v>2.2499999999999999E-14</v>
      </c>
      <c r="Q286" s="26">
        <v>9.9099999999999996E-12</v>
      </c>
    </row>
    <row r="287" spans="1:17" x14ac:dyDescent="0.3">
      <c r="A287" t="s">
        <v>331</v>
      </c>
      <c r="B287">
        <v>77.959500000000006</v>
      </c>
      <c r="C287">
        <v>19.757000000000001</v>
      </c>
      <c r="D287">
        <v>0.93799999999999994</v>
      </c>
      <c r="E287">
        <v>1.3039000000000001</v>
      </c>
      <c r="F287">
        <v>4.8999999999999998E-3</v>
      </c>
      <c r="G287">
        <v>3.6600000000000001E-2</v>
      </c>
      <c r="H287">
        <v>712</v>
      </c>
      <c r="I287">
        <v>1.2617</v>
      </c>
      <c r="J287">
        <v>1.1307</v>
      </c>
      <c r="K287">
        <v>1.1158999999999999</v>
      </c>
      <c r="L287" s="26">
        <v>4.2199999999999999E-10</v>
      </c>
      <c r="M287" s="26">
        <v>1.48E-13</v>
      </c>
      <c r="N287" s="26">
        <v>8.8599999999999996E-11</v>
      </c>
      <c r="O287" s="26">
        <v>7.81E-12</v>
      </c>
      <c r="P287" s="26">
        <v>2.42E-14</v>
      </c>
      <c r="Q287" s="26">
        <v>9.0700000000000007E-12</v>
      </c>
    </row>
    <row r="288" spans="1:17" x14ac:dyDescent="0.3">
      <c r="A288" t="s">
        <v>332</v>
      </c>
      <c r="B288">
        <v>77.872600000000006</v>
      </c>
      <c r="C288">
        <v>19.970099999999999</v>
      </c>
      <c r="D288">
        <v>0.93740000000000001</v>
      </c>
      <c r="E288">
        <v>1.1798</v>
      </c>
      <c r="F288">
        <v>4.7000000000000002E-3</v>
      </c>
      <c r="G288">
        <v>3.5400000000000001E-2</v>
      </c>
      <c r="H288">
        <v>712</v>
      </c>
      <c r="I288">
        <v>1.1391</v>
      </c>
      <c r="J288">
        <v>0.88700000000000001</v>
      </c>
      <c r="K288">
        <v>1.2843</v>
      </c>
      <c r="L288" s="26">
        <v>4.2099999999999999E-10</v>
      </c>
      <c r="M288" s="26">
        <v>1.43E-13</v>
      </c>
      <c r="N288" s="26">
        <v>8.9500000000000001E-11</v>
      </c>
      <c r="O288" s="26">
        <v>7.7999999999999999E-12</v>
      </c>
      <c r="P288" s="26">
        <v>2.3200000000000001E-14</v>
      </c>
      <c r="Q288" s="26">
        <v>8.1999999999999998E-12</v>
      </c>
    </row>
    <row r="289" spans="1:17" x14ac:dyDescent="0.3">
      <c r="A289" t="s">
        <v>333</v>
      </c>
      <c r="B289">
        <v>77.857399999999998</v>
      </c>
      <c r="C289">
        <v>20.116900000000001</v>
      </c>
      <c r="D289">
        <v>0.93640000000000001</v>
      </c>
      <c r="E289">
        <v>1.0507</v>
      </c>
      <c r="F289">
        <v>4.0000000000000001E-3</v>
      </c>
      <c r="G289">
        <v>3.4599999999999999E-2</v>
      </c>
      <c r="H289">
        <v>723</v>
      </c>
      <c r="I289">
        <v>1.0093000000000001</v>
      </c>
      <c r="J289">
        <v>0.73780000000000001</v>
      </c>
      <c r="K289">
        <v>1.3678999999999999</v>
      </c>
      <c r="L289" s="26">
        <v>4.2099999999999999E-10</v>
      </c>
      <c r="M289" s="26">
        <v>1.4100000000000001E-13</v>
      </c>
      <c r="N289" s="26">
        <v>9.0199999999999996E-11</v>
      </c>
      <c r="O289" s="26">
        <v>7.7899999999999997E-12</v>
      </c>
      <c r="P289" s="26">
        <v>2.1200000000000001E-14</v>
      </c>
      <c r="Q289" s="26">
        <v>7.3100000000000002E-12</v>
      </c>
    </row>
    <row r="290" spans="1:17" x14ac:dyDescent="0.3">
      <c r="A290" t="s">
        <v>334</v>
      </c>
      <c r="B290">
        <v>77.870900000000006</v>
      </c>
      <c r="C290">
        <v>20.2182</v>
      </c>
      <c r="D290">
        <v>0.93620000000000003</v>
      </c>
      <c r="E290">
        <v>0.93830000000000002</v>
      </c>
      <c r="F290">
        <v>2.8E-3</v>
      </c>
      <c r="G290">
        <v>3.3599999999999998E-2</v>
      </c>
      <c r="H290">
        <v>723</v>
      </c>
      <c r="I290">
        <v>0.89670000000000005</v>
      </c>
      <c r="J290">
        <v>0.63429999999999997</v>
      </c>
      <c r="K290">
        <v>1.4137</v>
      </c>
      <c r="L290" s="26">
        <v>4.2099999999999999E-10</v>
      </c>
      <c r="M290" s="26">
        <v>1.37E-13</v>
      </c>
      <c r="N290" s="26">
        <v>9.0600000000000002E-11</v>
      </c>
      <c r="O290" s="26">
        <v>7.7899999999999997E-12</v>
      </c>
      <c r="P290" s="26">
        <v>1.8300000000000002E-14</v>
      </c>
      <c r="Q290" s="26">
        <v>6.5199999999999997E-12</v>
      </c>
    </row>
    <row r="291" spans="1:17" x14ac:dyDescent="0.3">
      <c r="A291" t="s">
        <v>335</v>
      </c>
      <c r="B291">
        <v>77.898099999999999</v>
      </c>
      <c r="C291">
        <v>20.289899999999999</v>
      </c>
      <c r="D291">
        <v>0.93700000000000006</v>
      </c>
      <c r="E291">
        <v>0.83699999999999997</v>
      </c>
      <c r="F291">
        <v>4.5999999999999999E-3</v>
      </c>
      <c r="G291">
        <v>3.3399999999999999E-2</v>
      </c>
      <c r="H291">
        <v>715</v>
      </c>
      <c r="I291">
        <v>0.79449999999999998</v>
      </c>
      <c r="J291">
        <v>0.57620000000000005</v>
      </c>
      <c r="K291">
        <v>1.3789</v>
      </c>
      <c r="L291" s="26">
        <v>4.2099999999999999E-10</v>
      </c>
      <c r="M291" s="26">
        <v>1.36E-13</v>
      </c>
      <c r="N291" s="26">
        <v>9.0900000000000004E-11</v>
      </c>
      <c r="O291" s="26">
        <v>7.7899999999999997E-12</v>
      </c>
      <c r="P291" s="26">
        <v>2.2000000000000001E-14</v>
      </c>
      <c r="Q291" s="26">
        <v>5.83E-12</v>
      </c>
    </row>
    <row r="292" spans="1:17" x14ac:dyDescent="0.3">
      <c r="A292" t="s">
        <v>336</v>
      </c>
      <c r="B292">
        <v>77.933199999999999</v>
      </c>
      <c r="C292">
        <v>20.330100000000002</v>
      </c>
      <c r="D292">
        <v>0.93710000000000004</v>
      </c>
      <c r="E292">
        <v>0.76359999999999995</v>
      </c>
      <c r="F292">
        <v>4.0000000000000001E-3</v>
      </c>
      <c r="G292">
        <v>3.2099999999999997E-2</v>
      </c>
      <c r="H292">
        <v>714</v>
      </c>
      <c r="I292">
        <v>0.7208</v>
      </c>
      <c r="J292">
        <v>0.5444</v>
      </c>
      <c r="K292">
        <v>1.3241000000000001</v>
      </c>
      <c r="L292" s="26">
        <v>4.2099999999999999E-10</v>
      </c>
      <c r="M292" s="26">
        <v>1.31E-13</v>
      </c>
      <c r="N292" s="26">
        <v>9.0999999999999996E-11</v>
      </c>
      <c r="O292" s="26">
        <v>7.7899999999999997E-12</v>
      </c>
      <c r="P292" s="26">
        <v>2.0299999999999999E-14</v>
      </c>
      <c r="Q292" s="26">
        <v>5.3099999999999998E-12</v>
      </c>
    </row>
    <row r="293" spans="1:17" x14ac:dyDescent="0.3">
      <c r="A293" t="s">
        <v>337</v>
      </c>
      <c r="B293">
        <v>77.956800000000001</v>
      </c>
      <c r="C293">
        <v>20.3626</v>
      </c>
      <c r="D293">
        <v>0.93720000000000003</v>
      </c>
      <c r="E293">
        <v>0.70850000000000002</v>
      </c>
      <c r="F293">
        <v>3.0999999999999999E-3</v>
      </c>
      <c r="G293">
        <v>3.1800000000000002E-2</v>
      </c>
      <c r="H293">
        <v>705</v>
      </c>
      <c r="I293">
        <v>0.66579999999999995</v>
      </c>
      <c r="J293">
        <v>0.51549999999999996</v>
      </c>
      <c r="K293">
        <v>1.2915000000000001</v>
      </c>
      <c r="L293" s="26">
        <v>4.2099999999999999E-10</v>
      </c>
      <c r="M293" s="26">
        <v>1.2900000000000001E-13</v>
      </c>
      <c r="N293" s="26">
        <v>9.1100000000000001E-11</v>
      </c>
      <c r="O293" s="26">
        <v>7.7899999999999997E-12</v>
      </c>
      <c r="P293" s="26">
        <v>1.8200000000000001E-14</v>
      </c>
      <c r="Q293" s="26">
        <v>4.9300000000000002E-12</v>
      </c>
    </row>
    <row r="294" spans="1:17" x14ac:dyDescent="0.3">
      <c r="A294" t="s">
        <v>338</v>
      </c>
      <c r="B294">
        <v>77.974999999999994</v>
      </c>
      <c r="C294">
        <v>20.375399999999999</v>
      </c>
      <c r="D294">
        <v>0.93840000000000001</v>
      </c>
      <c r="E294">
        <v>0.67659999999999998</v>
      </c>
      <c r="F294">
        <v>3.7000000000000002E-3</v>
      </c>
      <c r="G294">
        <v>3.09E-2</v>
      </c>
      <c r="H294">
        <v>702</v>
      </c>
      <c r="I294">
        <v>0.6331</v>
      </c>
      <c r="J294">
        <v>0.50929999999999997</v>
      </c>
      <c r="K294">
        <v>1.2432000000000001</v>
      </c>
      <c r="L294" s="26">
        <v>4.2099999999999999E-10</v>
      </c>
      <c r="M294" s="26">
        <v>1.2599999999999999E-13</v>
      </c>
      <c r="N294" s="26">
        <v>9.1200000000000006E-11</v>
      </c>
      <c r="O294" s="26">
        <v>7.7999999999999999E-12</v>
      </c>
      <c r="P294" s="26">
        <v>1.92E-14</v>
      </c>
      <c r="Q294" s="26">
        <v>4.7099999999999999E-12</v>
      </c>
    </row>
    <row r="295" spans="1:17" x14ac:dyDescent="0.3">
      <c r="A295" t="s">
        <v>339</v>
      </c>
      <c r="B295">
        <v>77.994799999999998</v>
      </c>
      <c r="C295">
        <v>20.381399999999999</v>
      </c>
      <c r="D295">
        <v>0.9385</v>
      </c>
      <c r="E295">
        <v>0.6512</v>
      </c>
      <c r="F295">
        <v>3.0999999999999999E-3</v>
      </c>
      <c r="G295">
        <v>3.1099999999999999E-2</v>
      </c>
      <c r="H295">
        <v>722</v>
      </c>
      <c r="I295">
        <v>0.60709999999999997</v>
      </c>
      <c r="J295">
        <v>0.50800000000000001</v>
      </c>
      <c r="K295">
        <v>1.1951000000000001</v>
      </c>
      <c r="L295" s="26">
        <v>4.2199999999999999E-10</v>
      </c>
      <c r="M295" s="26">
        <v>1.2699999999999999E-13</v>
      </c>
      <c r="N295" s="26">
        <v>9.1299999999999997E-11</v>
      </c>
      <c r="O295" s="26">
        <v>7.7999999999999999E-12</v>
      </c>
      <c r="P295" s="26">
        <v>1.7900000000000001E-14</v>
      </c>
      <c r="Q295" s="26">
        <v>4.5300000000000003E-12</v>
      </c>
    </row>
    <row r="296" spans="1:17" x14ac:dyDescent="0.3">
      <c r="A296" t="s">
        <v>340</v>
      </c>
      <c r="B296">
        <v>77.991</v>
      </c>
      <c r="C296">
        <v>20.4068</v>
      </c>
      <c r="D296">
        <v>0.93840000000000001</v>
      </c>
      <c r="E296">
        <v>0.62980000000000003</v>
      </c>
      <c r="F296">
        <v>3.8E-3</v>
      </c>
      <c r="G296">
        <v>3.0200000000000001E-2</v>
      </c>
      <c r="H296">
        <v>722</v>
      </c>
      <c r="I296">
        <v>0.58589999999999998</v>
      </c>
      <c r="J296">
        <v>0.4783</v>
      </c>
      <c r="K296">
        <v>1.2250000000000001</v>
      </c>
      <c r="L296" s="26">
        <v>4.2099999999999999E-10</v>
      </c>
      <c r="M296" s="26">
        <v>1.2300000000000001E-13</v>
      </c>
      <c r="N296" s="26">
        <v>9.1299999999999997E-11</v>
      </c>
      <c r="O296" s="26">
        <v>7.7999999999999999E-12</v>
      </c>
      <c r="P296" s="26">
        <v>1.92E-14</v>
      </c>
      <c r="Q296" s="26">
        <v>4.3800000000000003E-12</v>
      </c>
    </row>
    <row r="297" spans="1:17" x14ac:dyDescent="0.3">
      <c r="A297" t="s">
        <v>341</v>
      </c>
      <c r="B297">
        <v>77.991200000000006</v>
      </c>
      <c r="C297">
        <v>20.426400000000001</v>
      </c>
      <c r="D297">
        <v>0.93889999999999996</v>
      </c>
      <c r="E297">
        <v>0.61009999999999998</v>
      </c>
      <c r="F297">
        <v>3.8999999999999998E-3</v>
      </c>
      <c r="G297">
        <v>2.9600000000000001E-2</v>
      </c>
      <c r="H297">
        <v>691</v>
      </c>
      <c r="I297">
        <v>0.56640000000000001</v>
      </c>
      <c r="J297">
        <v>0.46510000000000001</v>
      </c>
      <c r="K297">
        <v>1.2178</v>
      </c>
      <c r="L297" s="26">
        <v>4.2E-10</v>
      </c>
      <c r="M297" s="26">
        <v>1.2099999999999999E-13</v>
      </c>
      <c r="N297" s="26">
        <v>9.1200000000000006E-11</v>
      </c>
      <c r="O297" s="26">
        <v>7.7799999999999996E-12</v>
      </c>
      <c r="P297" s="26">
        <v>1.9000000000000001E-14</v>
      </c>
      <c r="Q297" s="26">
        <v>4.2399999999999997E-12</v>
      </c>
    </row>
    <row r="298" spans="1:17" x14ac:dyDescent="0.3">
      <c r="A298" t="s">
        <v>342</v>
      </c>
      <c r="B298">
        <v>77.995199999999997</v>
      </c>
      <c r="C298">
        <v>20.443899999999999</v>
      </c>
      <c r="D298">
        <v>0.93820000000000003</v>
      </c>
      <c r="E298">
        <v>0.59</v>
      </c>
      <c r="F298">
        <v>3.5999999999999999E-3</v>
      </c>
      <c r="G298">
        <v>2.8899999999999999E-2</v>
      </c>
      <c r="H298">
        <v>712</v>
      </c>
      <c r="I298">
        <v>0.54649999999999999</v>
      </c>
      <c r="J298">
        <v>0.44429999999999997</v>
      </c>
      <c r="K298">
        <v>1.2301</v>
      </c>
      <c r="L298" s="26">
        <v>4.2099999999999999E-10</v>
      </c>
      <c r="M298" s="26">
        <v>1.18E-13</v>
      </c>
      <c r="N298" s="26">
        <v>9.1499999999999994E-11</v>
      </c>
      <c r="O298" s="26">
        <v>7.7899999999999997E-12</v>
      </c>
      <c r="P298" s="26">
        <v>1.8399999999999999E-14</v>
      </c>
      <c r="Q298" s="26">
        <v>4.1100000000000001E-12</v>
      </c>
    </row>
    <row r="299" spans="1:17" x14ac:dyDescent="0.3">
      <c r="A299" t="s">
        <v>343</v>
      </c>
      <c r="B299">
        <v>77.989500000000007</v>
      </c>
      <c r="C299">
        <v>20.469899999999999</v>
      </c>
      <c r="D299">
        <v>0.9385</v>
      </c>
      <c r="E299">
        <v>0.56889999999999996</v>
      </c>
      <c r="F299">
        <v>3.8999999999999998E-3</v>
      </c>
      <c r="G299">
        <v>2.92E-2</v>
      </c>
      <c r="H299">
        <v>702</v>
      </c>
      <c r="I299">
        <v>0.52529999999999999</v>
      </c>
      <c r="J299">
        <v>0.42070000000000002</v>
      </c>
      <c r="K299">
        <v>1.2486999999999999</v>
      </c>
      <c r="L299" s="26">
        <v>4.2099999999999999E-10</v>
      </c>
      <c r="M299" s="26">
        <v>1.1999999999999999E-13</v>
      </c>
      <c r="N299" s="26">
        <v>9.1599999999999999E-11</v>
      </c>
      <c r="O299" s="26">
        <v>7.7999999999999999E-12</v>
      </c>
      <c r="P299" s="26">
        <v>1.9099999999999999E-14</v>
      </c>
      <c r="Q299" s="26">
        <v>3.9600000000000001E-12</v>
      </c>
    </row>
    <row r="300" spans="1:17" x14ac:dyDescent="0.3">
      <c r="A300" t="s">
        <v>344</v>
      </c>
      <c r="B300">
        <v>77.994399999999999</v>
      </c>
      <c r="C300">
        <v>20.4817</v>
      </c>
      <c r="D300">
        <v>0.93840000000000001</v>
      </c>
      <c r="E300">
        <v>0.5524</v>
      </c>
      <c r="F300">
        <v>4.4000000000000003E-3</v>
      </c>
      <c r="G300">
        <v>2.87E-2</v>
      </c>
      <c r="H300">
        <v>703</v>
      </c>
      <c r="I300">
        <v>0.50860000000000005</v>
      </c>
      <c r="J300">
        <v>0.40770000000000001</v>
      </c>
      <c r="K300">
        <v>1.2475000000000001</v>
      </c>
      <c r="L300" s="26">
        <v>4.2099999999999999E-10</v>
      </c>
      <c r="M300" s="26">
        <v>1.18E-13</v>
      </c>
      <c r="N300" s="26">
        <v>9.1700000000000004E-11</v>
      </c>
      <c r="O300" s="26">
        <v>7.7999999999999999E-12</v>
      </c>
      <c r="P300" s="26">
        <v>2E-14</v>
      </c>
      <c r="Q300" s="26">
        <v>3.85E-12</v>
      </c>
    </row>
    <row r="301" spans="1:17" x14ac:dyDescent="0.3">
      <c r="A301" t="s">
        <v>345</v>
      </c>
      <c r="B301">
        <v>78.000500000000002</v>
      </c>
      <c r="C301">
        <v>20.493099999999998</v>
      </c>
      <c r="D301">
        <v>0.93859999999999999</v>
      </c>
      <c r="E301">
        <v>0.5353</v>
      </c>
      <c r="F301">
        <v>4.0000000000000001E-3</v>
      </c>
      <c r="G301">
        <v>2.8500000000000001E-2</v>
      </c>
      <c r="H301">
        <v>725</v>
      </c>
      <c r="I301">
        <v>0.49120000000000003</v>
      </c>
      <c r="J301">
        <v>0.39679999999999999</v>
      </c>
      <c r="K301">
        <v>1.2381</v>
      </c>
      <c r="L301" s="26">
        <v>4.2099999999999999E-10</v>
      </c>
      <c r="M301" s="26">
        <v>1.1700000000000001E-13</v>
      </c>
      <c r="N301" s="26">
        <v>9.1700000000000004E-11</v>
      </c>
      <c r="O301" s="26">
        <v>7.7999999999999999E-12</v>
      </c>
      <c r="P301" s="26">
        <v>1.9000000000000001E-14</v>
      </c>
      <c r="Q301" s="26">
        <v>3.7299999999999997E-12</v>
      </c>
    </row>
    <row r="302" spans="1:17" x14ac:dyDescent="0.3">
      <c r="A302" t="s">
        <v>346</v>
      </c>
      <c r="B302">
        <v>78.001900000000006</v>
      </c>
      <c r="C302">
        <v>20.508900000000001</v>
      </c>
      <c r="D302">
        <v>0.93859999999999999</v>
      </c>
      <c r="E302">
        <v>0.51970000000000005</v>
      </c>
      <c r="F302">
        <v>3.8E-3</v>
      </c>
      <c r="G302">
        <v>2.7099999999999999E-2</v>
      </c>
      <c r="H302">
        <v>719</v>
      </c>
      <c r="I302">
        <v>0.47610000000000002</v>
      </c>
      <c r="J302">
        <v>0.38129999999999997</v>
      </c>
      <c r="K302">
        <v>1.2486999999999999</v>
      </c>
      <c r="L302" s="26">
        <v>4.2099999999999999E-10</v>
      </c>
      <c r="M302" s="26">
        <v>1.1099999999999999E-13</v>
      </c>
      <c r="N302" s="26">
        <v>9.1799999999999996E-11</v>
      </c>
      <c r="O302" s="26">
        <v>7.7999999999999999E-12</v>
      </c>
      <c r="P302" s="26">
        <v>1.7999999999999999E-14</v>
      </c>
      <c r="Q302" s="26">
        <v>3.6199999999999999E-12</v>
      </c>
    </row>
    <row r="303" spans="1:17" x14ac:dyDescent="0.3">
      <c r="A303" t="s">
        <v>347</v>
      </c>
      <c r="B303">
        <v>78.010000000000005</v>
      </c>
      <c r="C303">
        <v>20.515999999999998</v>
      </c>
      <c r="D303">
        <v>0.93859999999999999</v>
      </c>
      <c r="E303">
        <v>0.50570000000000004</v>
      </c>
      <c r="F303">
        <v>2.8999999999999998E-3</v>
      </c>
      <c r="G303">
        <v>2.6700000000000002E-2</v>
      </c>
      <c r="H303">
        <v>720</v>
      </c>
      <c r="I303">
        <v>0.4617</v>
      </c>
      <c r="J303">
        <v>0.37640000000000001</v>
      </c>
      <c r="K303">
        <v>1.2267999999999999</v>
      </c>
      <c r="L303" s="26">
        <v>4.2099999999999999E-10</v>
      </c>
      <c r="M303" s="26">
        <v>1.1E-13</v>
      </c>
      <c r="N303" s="26">
        <v>9.1900000000000001E-11</v>
      </c>
      <c r="O303" s="26">
        <v>7.7999999999999999E-12</v>
      </c>
      <c r="P303" s="26">
        <v>1.6000000000000001E-14</v>
      </c>
      <c r="Q303" s="26">
        <v>3.5199999999999999E-12</v>
      </c>
    </row>
    <row r="304" spans="1:17" x14ac:dyDescent="0.3">
      <c r="A304" t="s">
        <v>348</v>
      </c>
      <c r="B304">
        <v>78.0107</v>
      </c>
      <c r="C304">
        <v>20.531099999999999</v>
      </c>
      <c r="D304">
        <v>0.93869999999999998</v>
      </c>
      <c r="E304">
        <v>0.49059999999999998</v>
      </c>
      <c r="F304">
        <v>2.8E-3</v>
      </c>
      <c r="G304">
        <v>2.6100000000000002E-2</v>
      </c>
      <c r="H304">
        <v>708</v>
      </c>
      <c r="I304">
        <v>0.44640000000000002</v>
      </c>
      <c r="J304">
        <v>0.35909999999999997</v>
      </c>
      <c r="K304">
        <v>1.2430000000000001</v>
      </c>
      <c r="L304" s="26">
        <v>4.2099999999999999E-10</v>
      </c>
      <c r="M304" s="26">
        <v>1.0799999999999999E-13</v>
      </c>
      <c r="N304" s="26">
        <v>9.1900000000000001E-11</v>
      </c>
      <c r="O304" s="26">
        <v>7.7999999999999999E-12</v>
      </c>
      <c r="P304" s="26">
        <v>1.5699999999999999E-14</v>
      </c>
      <c r="Q304" s="26">
        <v>3.42E-12</v>
      </c>
    </row>
    <row r="305" spans="1:17" x14ac:dyDescent="0.3">
      <c r="A305" t="s">
        <v>349</v>
      </c>
      <c r="B305">
        <v>78.010800000000003</v>
      </c>
      <c r="C305">
        <v>20.544899999999998</v>
      </c>
      <c r="D305">
        <v>0.93859999999999999</v>
      </c>
      <c r="E305">
        <v>0.47660000000000002</v>
      </c>
      <c r="F305">
        <v>3.0000000000000001E-3</v>
      </c>
      <c r="G305">
        <v>2.6100000000000002E-2</v>
      </c>
      <c r="H305">
        <v>702</v>
      </c>
      <c r="I305">
        <v>0.43369999999999997</v>
      </c>
      <c r="J305">
        <v>0.35520000000000002</v>
      </c>
      <c r="K305">
        <v>1.2211000000000001</v>
      </c>
      <c r="L305" s="26">
        <v>4.2199999999999999E-10</v>
      </c>
      <c r="M305" s="26">
        <v>1.0799999999999999E-13</v>
      </c>
      <c r="N305" s="26">
        <v>9.2099999999999997E-11</v>
      </c>
      <c r="O305" s="26">
        <v>7.81E-12</v>
      </c>
      <c r="P305" s="26">
        <v>1.6000000000000001E-14</v>
      </c>
      <c r="Q305" s="26">
        <v>3.32E-12</v>
      </c>
    </row>
    <row r="306" spans="1:17" x14ac:dyDescent="0.3">
      <c r="A306" t="s">
        <v>350</v>
      </c>
      <c r="B306">
        <v>78.013000000000005</v>
      </c>
      <c r="C306">
        <v>20.555</v>
      </c>
      <c r="D306">
        <v>0.93840000000000001</v>
      </c>
      <c r="E306">
        <v>0.46479999999999999</v>
      </c>
      <c r="F306">
        <v>2.8999999999999998E-3</v>
      </c>
      <c r="G306">
        <v>2.5899999999999999E-2</v>
      </c>
      <c r="H306">
        <v>702</v>
      </c>
      <c r="I306">
        <v>0.42099999999999999</v>
      </c>
      <c r="J306">
        <v>0.34179999999999999</v>
      </c>
      <c r="K306">
        <v>1.2317</v>
      </c>
      <c r="L306" s="26">
        <v>4.2199999999999999E-10</v>
      </c>
      <c r="M306" s="26">
        <v>1.07E-13</v>
      </c>
      <c r="N306" s="26">
        <v>9.2099999999999997E-11</v>
      </c>
      <c r="O306" s="26">
        <v>7.81E-12</v>
      </c>
      <c r="P306" s="26">
        <v>1.58E-14</v>
      </c>
      <c r="Q306" s="26">
        <v>3.2399999999999999E-12</v>
      </c>
    </row>
    <row r="307" spans="1:17" x14ac:dyDescent="0.3">
      <c r="A307" t="s">
        <v>351</v>
      </c>
      <c r="B307">
        <v>78.010300000000001</v>
      </c>
      <c r="C307">
        <v>20.570499999999999</v>
      </c>
      <c r="D307">
        <v>0.93859999999999999</v>
      </c>
      <c r="E307">
        <v>0.45200000000000001</v>
      </c>
      <c r="F307">
        <v>3.3999999999999998E-3</v>
      </c>
      <c r="G307">
        <v>2.53E-2</v>
      </c>
      <c r="H307">
        <v>700</v>
      </c>
      <c r="I307">
        <v>0.40789999999999998</v>
      </c>
      <c r="J307">
        <v>0.32440000000000002</v>
      </c>
      <c r="K307">
        <v>1.2573000000000001</v>
      </c>
      <c r="L307" s="26">
        <v>4.2199999999999999E-10</v>
      </c>
      <c r="M307" s="26">
        <v>1.0499999999999999E-13</v>
      </c>
      <c r="N307" s="26">
        <v>9.2200000000000002E-11</v>
      </c>
      <c r="O307" s="26">
        <v>7.81E-12</v>
      </c>
      <c r="P307" s="26">
        <v>1.66E-14</v>
      </c>
      <c r="Q307" s="26">
        <v>3.1599999999999999E-12</v>
      </c>
    </row>
    <row r="308" spans="1:17" x14ac:dyDescent="0.3">
      <c r="A308" t="s">
        <v>352</v>
      </c>
      <c r="B308">
        <v>78.012699999999995</v>
      </c>
      <c r="C308">
        <v>20.580200000000001</v>
      </c>
      <c r="D308">
        <v>0.93879999999999997</v>
      </c>
      <c r="E308">
        <v>0.4405</v>
      </c>
      <c r="F308">
        <v>3.0000000000000001E-3</v>
      </c>
      <c r="G308">
        <v>2.4899999999999999E-2</v>
      </c>
      <c r="H308">
        <v>723</v>
      </c>
      <c r="I308">
        <v>0.39689999999999998</v>
      </c>
      <c r="J308">
        <v>0.31169999999999998</v>
      </c>
      <c r="K308">
        <v>1.2734000000000001</v>
      </c>
      <c r="L308" s="26">
        <v>4.2199999999999999E-10</v>
      </c>
      <c r="M308" s="26">
        <v>1.03E-13</v>
      </c>
      <c r="N308" s="26">
        <v>9.2299999999999994E-11</v>
      </c>
      <c r="O308" s="26">
        <v>7.81E-12</v>
      </c>
      <c r="P308" s="26">
        <v>1.5699999999999999E-14</v>
      </c>
      <c r="Q308" s="26">
        <v>3.07E-12</v>
      </c>
    </row>
    <row r="309" spans="1:17" x14ac:dyDescent="0.3">
      <c r="A309" t="s">
        <v>353</v>
      </c>
      <c r="B309">
        <v>78.020099999999999</v>
      </c>
      <c r="C309">
        <v>20.584</v>
      </c>
      <c r="D309">
        <v>0.93840000000000001</v>
      </c>
      <c r="E309">
        <v>0.4294</v>
      </c>
      <c r="F309">
        <v>2.8999999999999998E-3</v>
      </c>
      <c r="G309">
        <v>2.52E-2</v>
      </c>
      <c r="H309">
        <v>718</v>
      </c>
      <c r="I309">
        <v>0.3856</v>
      </c>
      <c r="J309">
        <v>0.31309999999999999</v>
      </c>
      <c r="K309">
        <v>1.2315</v>
      </c>
      <c r="L309" s="26">
        <v>4.2199999999999999E-10</v>
      </c>
      <c r="M309" s="26">
        <v>1.04E-13</v>
      </c>
      <c r="N309" s="26">
        <v>9.2299999999999994E-11</v>
      </c>
      <c r="O309" s="26">
        <v>7.81E-12</v>
      </c>
      <c r="P309" s="26">
        <v>1.55E-14</v>
      </c>
      <c r="Q309" s="26">
        <v>3.0000000000000001E-12</v>
      </c>
    </row>
    <row r="310" spans="1:17" x14ac:dyDescent="0.3">
      <c r="A310" t="s">
        <v>354</v>
      </c>
      <c r="B310">
        <v>78.021000000000001</v>
      </c>
      <c r="C310">
        <v>20.594799999999999</v>
      </c>
      <c r="D310">
        <v>0.93840000000000001</v>
      </c>
      <c r="E310">
        <v>0.4178</v>
      </c>
      <c r="F310">
        <v>3.5000000000000001E-3</v>
      </c>
      <c r="G310">
        <v>2.4400000000000002E-2</v>
      </c>
      <c r="H310">
        <v>709</v>
      </c>
      <c r="I310">
        <v>0.37409999999999999</v>
      </c>
      <c r="J310">
        <v>0.3044</v>
      </c>
      <c r="K310">
        <v>1.2289000000000001</v>
      </c>
      <c r="L310" s="26">
        <v>4.2199999999999999E-10</v>
      </c>
      <c r="M310" s="26">
        <v>1.01E-13</v>
      </c>
      <c r="N310" s="26">
        <v>9.2399999999999999E-11</v>
      </c>
      <c r="O310" s="26">
        <v>7.81E-12</v>
      </c>
      <c r="P310" s="26">
        <v>1.6700000000000001E-14</v>
      </c>
      <c r="Q310" s="26">
        <v>2.9200000000000001E-12</v>
      </c>
    </row>
    <row r="311" spans="1:17" x14ac:dyDescent="0.3">
      <c r="A311" t="s">
        <v>355</v>
      </c>
      <c r="B311">
        <v>78.019499999999994</v>
      </c>
      <c r="C311">
        <v>20.606100000000001</v>
      </c>
      <c r="D311">
        <v>0.93899999999999995</v>
      </c>
      <c r="E311">
        <v>0.40789999999999998</v>
      </c>
      <c r="F311">
        <v>2.8999999999999998E-3</v>
      </c>
      <c r="G311">
        <v>2.4500000000000001E-2</v>
      </c>
      <c r="H311">
        <v>700</v>
      </c>
      <c r="I311">
        <v>0.3639</v>
      </c>
      <c r="J311">
        <v>0.29709999999999998</v>
      </c>
      <c r="K311">
        <v>1.2245999999999999</v>
      </c>
      <c r="L311" s="26">
        <v>4.2199999999999999E-10</v>
      </c>
      <c r="M311" s="26">
        <v>1.01E-13</v>
      </c>
      <c r="N311" s="26">
        <v>9.2399999999999999E-11</v>
      </c>
      <c r="O311" s="26">
        <v>7.8200000000000002E-12</v>
      </c>
      <c r="P311" s="26">
        <v>1.5299999999999999E-14</v>
      </c>
      <c r="Q311" s="26">
        <v>2.8500000000000002E-12</v>
      </c>
    </row>
    <row r="312" spans="1:17" x14ac:dyDescent="0.3">
      <c r="A312" t="s">
        <v>356</v>
      </c>
      <c r="B312">
        <v>78.0197</v>
      </c>
      <c r="C312">
        <v>20.616800000000001</v>
      </c>
      <c r="D312">
        <v>0.93869999999999998</v>
      </c>
      <c r="E312">
        <v>0.39810000000000001</v>
      </c>
      <c r="F312">
        <v>2.7000000000000001E-3</v>
      </c>
      <c r="G312">
        <v>2.4E-2</v>
      </c>
      <c r="H312">
        <v>703</v>
      </c>
      <c r="I312">
        <v>0.35449999999999998</v>
      </c>
      <c r="J312">
        <v>0.27789999999999998</v>
      </c>
      <c r="K312">
        <v>1.2755000000000001</v>
      </c>
      <c r="L312" s="26">
        <v>4.2199999999999999E-10</v>
      </c>
      <c r="M312" s="26">
        <v>9.96E-14</v>
      </c>
      <c r="N312" s="26">
        <v>9.2399999999999999E-11</v>
      </c>
      <c r="O312" s="26">
        <v>7.81E-12</v>
      </c>
      <c r="P312" s="26">
        <v>1.4599999999999999E-14</v>
      </c>
      <c r="Q312" s="26">
        <v>2.7799999999999999E-12</v>
      </c>
    </row>
    <row r="313" spans="1:17" x14ac:dyDescent="0.3">
      <c r="A313" t="s">
        <v>357</v>
      </c>
      <c r="B313">
        <v>78.026899999999998</v>
      </c>
      <c r="C313">
        <v>20.620200000000001</v>
      </c>
      <c r="D313">
        <v>0.93910000000000005</v>
      </c>
      <c r="E313">
        <v>0.38850000000000001</v>
      </c>
      <c r="F313">
        <v>2.5000000000000001E-3</v>
      </c>
      <c r="G313">
        <v>2.2800000000000001E-2</v>
      </c>
      <c r="H313">
        <v>719</v>
      </c>
      <c r="I313">
        <v>0.34420000000000001</v>
      </c>
      <c r="J313">
        <v>0.27929999999999999</v>
      </c>
      <c r="K313">
        <v>1.2325999999999999</v>
      </c>
      <c r="L313" s="26">
        <v>4.2199999999999999E-10</v>
      </c>
      <c r="M313" s="26">
        <v>9.4999999999999999E-14</v>
      </c>
      <c r="N313" s="26">
        <v>9.2399999999999999E-11</v>
      </c>
      <c r="O313" s="26">
        <v>7.81E-12</v>
      </c>
      <c r="P313" s="26">
        <v>1.3899999999999999E-14</v>
      </c>
      <c r="Q313" s="26">
        <v>2.71E-12</v>
      </c>
    </row>
    <row r="314" spans="1:17" x14ac:dyDescent="0.3">
      <c r="A314" t="s">
        <v>358</v>
      </c>
      <c r="B314">
        <v>78.027299999999997</v>
      </c>
      <c r="C314">
        <v>20.6267</v>
      </c>
      <c r="D314">
        <v>0.9385</v>
      </c>
      <c r="E314">
        <v>0.38019999999999998</v>
      </c>
      <c r="F314">
        <v>3.3E-3</v>
      </c>
      <c r="G314">
        <v>2.4E-2</v>
      </c>
      <c r="H314">
        <v>716</v>
      </c>
      <c r="I314">
        <v>0.33610000000000001</v>
      </c>
      <c r="J314">
        <v>0.27279999999999999</v>
      </c>
      <c r="K314">
        <v>1.232</v>
      </c>
      <c r="L314" s="26">
        <v>4.2199999999999999E-10</v>
      </c>
      <c r="M314" s="26">
        <v>9.9500000000000005E-14</v>
      </c>
      <c r="N314" s="26">
        <v>9.2399999999999999E-11</v>
      </c>
      <c r="O314" s="26">
        <v>7.7999999999999999E-12</v>
      </c>
      <c r="P314" s="26">
        <v>1.6000000000000001E-14</v>
      </c>
      <c r="Q314" s="26">
        <v>2.66E-12</v>
      </c>
    </row>
    <row r="315" spans="1:17" x14ac:dyDescent="0.3">
      <c r="A315" t="s">
        <v>359</v>
      </c>
      <c r="B315">
        <v>78.032499999999999</v>
      </c>
      <c r="C315">
        <v>20.633099999999999</v>
      </c>
      <c r="D315">
        <v>0.93889999999999996</v>
      </c>
      <c r="E315">
        <v>0.36969999999999997</v>
      </c>
      <c r="F315">
        <v>1.9E-3</v>
      </c>
      <c r="G315">
        <v>2.3800000000000002E-2</v>
      </c>
      <c r="H315">
        <v>712</v>
      </c>
      <c r="I315">
        <v>0.32569999999999999</v>
      </c>
      <c r="J315">
        <v>0.27079999999999999</v>
      </c>
      <c r="K315">
        <v>1.2025999999999999</v>
      </c>
      <c r="L315" s="26">
        <v>4.2199999999999999E-10</v>
      </c>
      <c r="M315" s="26">
        <v>9.8800000000000006E-14</v>
      </c>
      <c r="N315" s="26">
        <v>9.2399999999999999E-11</v>
      </c>
      <c r="O315" s="26">
        <v>7.81E-12</v>
      </c>
      <c r="P315" s="26">
        <v>1.2900000000000001E-14</v>
      </c>
      <c r="Q315" s="26">
        <v>2.5799999999999999E-12</v>
      </c>
    </row>
    <row r="316" spans="1:17" x14ac:dyDescent="0.3">
      <c r="A316" t="s">
        <v>360</v>
      </c>
      <c r="B316">
        <v>78.034099999999995</v>
      </c>
      <c r="C316">
        <v>20.637799999999999</v>
      </c>
      <c r="D316">
        <v>0.93879999999999997</v>
      </c>
      <c r="E316">
        <v>0.36270000000000002</v>
      </c>
      <c r="F316">
        <v>3.3E-3</v>
      </c>
      <c r="G316">
        <v>2.3300000000000001E-2</v>
      </c>
      <c r="H316">
        <v>705</v>
      </c>
      <c r="I316">
        <v>0.31859999999999999</v>
      </c>
      <c r="J316">
        <v>0.26669999999999999</v>
      </c>
      <c r="K316">
        <v>1.1944999999999999</v>
      </c>
      <c r="L316" s="26">
        <v>4.2199999999999999E-10</v>
      </c>
      <c r="M316" s="26">
        <v>9.6800000000000002E-14</v>
      </c>
      <c r="N316" s="26">
        <v>9.2500000000000004E-11</v>
      </c>
      <c r="O316" s="26">
        <v>7.81E-12</v>
      </c>
      <c r="P316" s="26">
        <v>1.58E-14</v>
      </c>
      <c r="Q316" s="26">
        <v>2.5400000000000001E-12</v>
      </c>
    </row>
    <row r="317" spans="1:17" x14ac:dyDescent="0.3">
      <c r="A317" t="s">
        <v>361</v>
      </c>
      <c r="B317">
        <v>78.031099999999995</v>
      </c>
      <c r="C317">
        <v>20.647099999999998</v>
      </c>
      <c r="D317">
        <v>0.93769999999999998</v>
      </c>
      <c r="E317">
        <v>0.35730000000000001</v>
      </c>
      <c r="F317">
        <v>3.2000000000000002E-3</v>
      </c>
      <c r="G317">
        <v>2.3599999999999999E-2</v>
      </c>
      <c r="H317">
        <v>696</v>
      </c>
      <c r="I317">
        <v>0.3135</v>
      </c>
      <c r="J317">
        <v>0.25419999999999998</v>
      </c>
      <c r="K317">
        <v>1.2333000000000001</v>
      </c>
      <c r="L317" s="26">
        <v>4.2199999999999999E-10</v>
      </c>
      <c r="M317" s="26">
        <v>9.7999999999999999E-14</v>
      </c>
      <c r="N317" s="26">
        <v>9.2500000000000004E-11</v>
      </c>
      <c r="O317" s="26">
        <v>7.7899999999999997E-12</v>
      </c>
      <c r="P317" s="26">
        <v>1.5600000000000001E-14</v>
      </c>
      <c r="Q317" s="26">
        <v>2.4999999999999998E-12</v>
      </c>
    </row>
    <row r="318" spans="1:17" x14ac:dyDescent="0.3">
      <c r="A318" t="s">
        <v>362</v>
      </c>
      <c r="B318">
        <v>78.031300000000002</v>
      </c>
      <c r="C318">
        <v>20.654</v>
      </c>
      <c r="D318">
        <v>0.93840000000000001</v>
      </c>
      <c r="E318">
        <v>0.34970000000000001</v>
      </c>
      <c r="F318">
        <v>3.2000000000000002E-3</v>
      </c>
      <c r="G318">
        <v>2.3400000000000001E-2</v>
      </c>
      <c r="H318">
        <v>699</v>
      </c>
      <c r="I318">
        <v>0.30599999999999999</v>
      </c>
      <c r="J318">
        <v>0.24729999999999999</v>
      </c>
      <c r="K318">
        <v>1.2374000000000001</v>
      </c>
      <c r="L318" s="26">
        <v>4.2199999999999999E-10</v>
      </c>
      <c r="M318" s="26">
        <v>9.7099999999999998E-14</v>
      </c>
      <c r="N318" s="26">
        <v>9.2500000000000004E-11</v>
      </c>
      <c r="O318" s="26">
        <v>7.7999999999999999E-12</v>
      </c>
      <c r="P318" s="26">
        <v>1.5600000000000001E-14</v>
      </c>
      <c r="Q318" s="26">
        <v>2.4400000000000001E-12</v>
      </c>
    </row>
    <row r="319" spans="1:17" x14ac:dyDescent="0.3">
      <c r="A319" t="s">
        <v>363</v>
      </c>
      <c r="B319">
        <v>78.034000000000006</v>
      </c>
      <c r="C319">
        <v>20.657900000000001</v>
      </c>
      <c r="D319">
        <v>0.93840000000000001</v>
      </c>
      <c r="E319">
        <v>0.34329999999999999</v>
      </c>
      <c r="F319">
        <v>3.2000000000000002E-3</v>
      </c>
      <c r="G319">
        <v>2.3199999999999998E-2</v>
      </c>
      <c r="H319">
        <v>720</v>
      </c>
      <c r="I319">
        <v>0.29949999999999999</v>
      </c>
      <c r="J319">
        <v>0.24160000000000001</v>
      </c>
      <c r="K319">
        <v>1.2398</v>
      </c>
      <c r="L319" s="26">
        <v>4.2099999999999999E-10</v>
      </c>
      <c r="M319" s="26">
        <v>9.6399999999999998E-14</v>
      </c>
      <c r="N319" s="26">
        <v>9.2399999999999999E-11</v>
      </c>
      <c r="O319" s="26">
        <v>7.7999999999999999E-12</v>
      </c>
      <c r="P319" s="26">
        <v>1.55E-14</v>
      </c>
      <c r="Q319" s="26">
        <v>2.3999999999999999E-12</v>
      </c>
    </row>
    <row r="320" spans="1:17" x14ac:dyDescent="0.3">
      <c r="A320" t="s">
        <v>364</v>
      </c>
      <c r="B320">
        <v>78.038700000000006</v>
      </c>
      <c r="C320">
        <v>20.656600000000001</v>
      </c>
      <c r="D320">
        <v>0.93859999999999999</v>
      </c>
      <c r="E320">
        <v>0.34010000000000001</v>
      </c>
      <c r="F320">
        <v>2.8E-3</v>
      </c>
      <c r="G320">
        <v>2.3099999999999999E-2</v>
      </c>
      <c r="H320">
        <v>715</v>
      </c>
      <c r="I320">
        <v>0.29620000000000002</v>
      </c>
      <c r="J320">
        <v>0.2475</v>
      </c>
      <c r="K320">
        <v>1.1967000000000001</v>
      </c>
      <c r="L320" s="26">
        <v>4.2099999999999999E-10</v>
      </c>
      <c r="M320" s="26">
        <v>9.6100000000000002E-14</v>
      </c>
      <c r="N320" s="26">
        <v>9.2500000000000004E-11</v>
      </c>
      <c r="O320" s="26">
        <v>7.7999999999999999E-12</v>
      </c>
      <c r="P320" s="26">
        <v>1.4500000000000001E-14</v>
      </c>
      <c r="Q320" s="26">
        <v>2.3700000000000002E-12</v>
      </c>
    </row>
    <row r="321" spans="1:17" x14ac:dyDescent="0.3">
      <c r="A321" t="s">
        <v>365</v>
      </c>
      <c r="B321">
        <v>78.040899999999993</v>
      </c>
      <c r="C321">
        <v>20.6632</v>
      </c>
      <c r="D321">
        <v>0.93830000000000002</v>
      </c>
      <c r="E321">
        <v>0.33129999999999998</v>
      </c>
      <c r="F321">
        <v>3.5999999999999999E-3</v>
      </c>
      <c r="G321">
        <v>2.2800000000000001E-2</v>
      </c>
      <c r="H321">
        <v>705</v>
      </c>
      <c r="I321">
        <v>0.28739999999999999</v>
      </c>
      <c r="J321">
        <v>0.24129999999999999</v>
      </c>
      <c r="K321">
        <v>1.1912</v>
      </c>
      <c r="L321" s="26">
        <v>4.2099999999999999E-10</v>
      </c>
      <c r="M321" s="26">
        <v>9.4799999999999997E-14</v>
      </c>
      <c r="N321" s="26">
        <v>9.2500000000000004E-11</v>
      </c>
      <c r="O321" s="26">
        <v>7.7999999999999999E-12</v>
      </c>
      <c r="P321" s="26">
        <v>1.62E-14</v>
      </c>
      <c r="Q321" s="26">
        <v>2.3199999999999998E-12</v>
      </c>
    </row>
    <row r="322" spans="1:17" x14ac:dyDescent="0.3">
      <c r="A322" t="s">
        <v>366</v>
      </c>
      <c r="B322">
        <v>78.0381</v>
      </c>
      <c r="C322">
        <v>20.673400000000001</v>
      </c>
      <c r="D322">
        <v>0.93920000000000003</v>
      </c>
      <c r="E322">
        <v>0.32400000000000001</v>
      </c>
      <c r="F322">
        <v>2.7000000000000001E-3</v>
      </c>
      <c r="G322">
        <v>2.2700000000000001E-2</v>
      </c>
      <c r="H322">
        <v>705</v>
      </c>
      <c r="I322">
        <v>0.27979999999999999</v>
      </c>
      <c r="J322">
        <v>0.22670000000000001</v>
      </c>
      <c r="K322">
        <v>1.2343999999999999</v>
      </c>
      <c r="L322" s="26">
        <v>4.2099999999999999E-10</v>
      </c>
      <c r="M322" s="26">
        <v>9.43E-14</v>
      </c>
      <c r="N322" s="26">
        <v>9.2500000000000004E-11</v>
      </c>
      <c r="O322" s="26">
        <v>7.7999999999999999E-12</v>
      </c>
      <c r="P322" s="26">
        <v>1.43E-14</v>
      </c>
      <c r="Q322" s="26">
        <v>2.2600000000000001E-12</v>
      </c>
    </row>
    <row r="323" spans="1:17" x14ac:dyDescent="0.3">
      <c r="A323" t="s">
        <v>367</v>
      </c>
      <c r="B323">
        <v>78.042900000000003</v>
      </c>
      <c r="C323">
        <v>20.6721</v>
      </c>
      <c r="D323">
        <v>0.93840000000000001</v>
      </c>
      <c r="E323">
        <v>0.32129999999999997</v>
      </c>
      <c r="F323">
        <v>2.5999999999999999E-3</v>
      </c>
      <c r="G323">
        <v>2.2700000000000001E-2</v>
      </c>
      <c r="H323">
        <v>701</v>
      </c>
      <c r="I323">
        <v>0.27779999999999999</v>
      </c>
      <c r="J323">
        <v>0.23200000000000001</v>
      </c>
      <c r="K323">
        <v>1.1973</v>
      </c>
      <c r="L323" s="26">
        <v>4.2099999999999999E-10</v>
      </c>
      <c r="M323" s="26">
        <v>9.4399999999999994E-14</v>
      </c>
      <c r="N323" s="26">
        <v>9.2500000000000004E-11</v>
      </c>
      <c r="O323" s="26">
        <v>7.7999999999999999E-12</v>
      </c>
      <c r="P323" s="26">
        <v>1.4E-14</v>
      </c>
      <c r="Q323" s="26">
        <v>2.2400000000000001E-12</v>
      </c>
    </row>
    <row r="324" spans="1:17" x14ac:dyDescent="0.3">
      <c r="A324" t="s">
        <v>368</v>
      </c>
      <c r="B324">
        <v>78.040000000000006</v>
      </c>
      <c r="C324">
        <v>20.678599999999999</v>
      </c>
      <c r="D324">
        <v>0.93910000000000005</v>
      </c>
      <c r="E324">
        <v>0.317</v>
      </c>
      <c r="F324">
        <v>3.0999999999999999E-3</v>
      </c>
      <c r="G324">
        <v>2.23E-2</v>
      </c>
      <c r="H324">
        <v>697</v>
      </c>
      <c r="I324">
        <v>0.27300000000000002</v>
      </c>
      <c r="J324">
        <v>0.22570000000000001</v>
      </c>
      <c r="K324">
        <v>1.2096</v>
      </c>
      <c r="L324" s="26">
        <v>4.2099999999999999E-10</v>
      </c>
      <c r="M324" s="26">
        <v>9.2800000000000006E-14</v>
      </c>
      <c r="N324" s="26">
        <v>9.2500000000000004E-11</v>
      </c>
      <c r="O324" s="26">
        <v>7.7999999999999999E-12</v>
      </c>
      <c r="P324" s="26">
        <v>1.4900000000000002E-14</v>
      </c>
      <c r="Q324" s="26">
        <v>2.2100000000000001E-12</v>
      </c>
    </row>
    <row r="325" spans="1:17" x14ac:dyDescent="0.3">
      <c r="A325" t="s">
        <v>369</v>
      </c>
      <c r="B325">
        <v>78.044300000000007</v>
      </c>
      <c r="C325">
        <v>20.679300000000001</v>
      </c>
      <c r="D325">
        <v>0.93889999999999996</v>
      </c>
      <c r="E325">
        <v>0.31219999999999998</v>
      </c>
      <c r="F325">
        <v>2.8E-3</v>
      </c>
      <c r="G325">
        <v>2.2599999999999999E-2</v>
      </c>
      <c r="H325">
        <v>718</v>
      </c>
      <c r="I325">
        <v>0.26860000000000001</v>
      </c>
      <c r="J325">
        <v>0.22309999999999999</v>
      </c>
      <c r="K325">
        <v>1.2039</v>
      </c>
      <c r="L325" s="26">
        <v>4.2099999999999999E-10</v>
      </c>
      <c r="M325" s="26">
        <v>9.3800000000000002E-14</v>
      </c>
      <c r="N325" s="26">
        <v>9.2500000000000004E-11</v>
      </c>
      <c r="O325" s="26">
        <v>7.7999999999999999E-12</v>
      </c>
      <c r="P325" s="26">
        <v>1.44E-14</v>
      </c>
      <c r="Q325" s="26">
        <v>2.18E-12</v>
      </c>
    </row>
    <row r="326" spans="1:17" x14ac:dyDescent="0.3">
      <c r="A326" t="s">
        <v>370</v>
      </c>
      <c r="B326">
        <v>78.042900000000003</v>
      </c>
      <c r="C326">
        <v>20.685500000000001</v>
      </c>
      <c r="D326">
        <v>0.9385</v>
      </c>
      <c r="E326">
        <v>0.30690000000000001</v>
      </c>
      <c r="F326">
        <v>3.8999999999999998E-3</v>
      </c>
      <c r="G326">
        <v>2.23E-2</v>
      </c>
      <c r="H326">
        <v>720</v>
      </c>
      <c r="I326">
        <v>0.26250000000000001</v>
      </c>
      <c r="J326">
        <v>0.21360000000000001</v>
      </c>
      <c r="K326">
        <v>1.2293000000000001</v>
      </c>
      <c r="L326" s="26">
        <v>4.2099999999999999E-10</v>
      </c>
      <c r="M326" s="26">
        <v>9.29E-14</v>
      </c>
      <c r="N326" s="26">
        <v>9.2599999999999996E-11</v>
      </c>
      <c r="O326" s="26">
        <v>7.7999999999999999E-12</v>
      </c>
      <c r="P326" s="26">
        <v>1.6700000000000001E-14</v>
      </c>
      <c r="Q326" s="26">
        <v>2.1499999999999999E-12</v>
      </c>
    </row>
    <row r="327" spans="1:17" x14ac:dyDescent="0.3">
      <c r="A327" t="s">
        <v>371</v>
      </c>
      <c r="B327">
        <v>78.046099999999996</v>
      </c>
      <c r="C327">
        <v>20.6875</v>
      </c>
      <c r="D327">
        <v>0.93869999999999998</v>
      </c>
      <c r="E327">
        <v>0.3029</v>
      </c>
      <c r="F327">
        <v>3.0000000000000001E-3</v>
      </c>
      <c r="G327">
        <v>2.18E-2</v>
      </c>
      <c r="H327">
        <v>712</v>
      </c>
      <c r="I327">
        <v>0.25869999999999999</v>
      </c>
      <c r="J327">
        <v>0.21179999999999999</v>
      </c>
      <c r="K327">
        <v>1.2216</v>
      </c>
      <c r="L327" s="26">
        <v>4.2099999999999999E-10</v>
      </c>
      <c r="M327" s="26">
        <v>9.0800000000000002E-14</v>
      </c>
      <c r="N327" s="26">
        <v>9.2599999999999996E-11</v>
      </c>
      <c r="O327" s="26">
        <v>7.7999999999999999E-12</v>
      </c>
      <c r="P327" s="26">
        <v>1.47E-14</v>
      </c>
      <c r="Q327" s="26">
        <v>2.1199999999999999E-12</v>
      </c>
    </row>
    <row r="328" spans="1:17" x14ac:dyDescent="0.3">
      <c r="A328" t="s">
        <v>372</v>
      </c>
      <c r="B328">
        <v>78.085499999999996</v>
      </c>
      <c r="C328">
        <v>20.656500000000001</v>
      </c>
      <c r="D328">
        <v>0.93410000000000004</v>
      </c>
      <c r="E328">
        <v>0.29830000000000001</v>
      </c>
      <c r="F328">
        <v>3.5000000000000001E-3</v>
      </c>
      <c r="G328">
        <v>2.2100000000000002E-2</v>
      </c>
      <c r="H328">
        <v>643</v>
      </c>
      <c r="I328">
        <v>0.25390000000000001</v>
      </c>
      <c r="J328">
        <v>0.2571</v>
      </c>
      <c r="K328">
        <v>0.98770000000000002</v>
      </c>
      <c r="L328" s="26">
        <v>4.2099999999999999E-10</v>
      </c>
      <c r="M328" s="26">
        <v>9.1799999999999998E-14</v>
      </c>
      <c r="N328" s="26">
        <v>9.2299999999999994E-11</v>
      </c>
      <c r="O328" s="26">
        <v>7.7500000000000007E-12</v>
      </c>
      <c r="P328" s="26">
        <v>1.58E-14</v>
      </c>
      <c r="Q328" s="26">
        <v>2.0900000000000002E-12</v>
      </c>
    </row>
    <row r="329" spans="1:17" x14ac:dyDescent="0.3">
      <c r="A329" t="s">
        <v>373</v>
      </c>
      <c r="B329">
        <v>78.049099999999996</v>
      </c>
      <c r="C329">
        <v>20.689599999999999</v>
      </c>
      <c r="D329">
        <v>0.93920000000000003</v>
      </c>
      <c r="E329">
        <v>0.29720000000000002</v>
      </c>
      <c r="F329">
        <v>2.8E-3</v>
      </c>
      <c r="G329">
        <v>2.2100000000000002E-2</v>
      </c>
      <c r="H329">
        <v>700</v>
      </c>
      <c r="I329">
        <v>0.25319999999999998</v>
      </c>
      <c r="J329">
        <v>0.21340000000000001</v>
      </c>
      <c r="K329">
        <v>1.1863999999999999</v>
      </c>
      <c r="L329" s="26">
        <v>4.2099999999999999E-10</v>
      </c>
      <c r="M329" s="26">
        <v>9.2200000000000001E-14</v>
      </c>
      <c r="N329" s="26">
        <v>9.2599999999999996E-11</v>
      </c>
      <c r="O329" s="26">
        <v>7.7999999999999999E-12</v>
      </c>
      <c r="P329" s="26">
        <v>1.43E-14</v>
      </c>
      <c r="Q329" s="26">
        <v>2.08E-12</v>
      </c>
    </row>
    <row r="330" spans="1:17" x14ac:dyDescent="0.3">
      <c r="A330" t="s">
        <v>374</v>
      </c>
      <c r="B330">
        <v>78.051299999999998</v>
      </c>
      <c r="C330">
        <v>20.6919</v>
      </c>
      <c r="D330">
        <v>0.93910000000000005</v>
      </c>
      <c r="E330">
        <v>0.29220000000000002</v>
      </c>
      <c r="F330">
        <v>3.8999999999999998E-3</v>
      </c>
      <c r="G330">
        <v>2.1499999999999998E-2</v>
      </c>
      <c r="H330">
        <v>703</v>
      </c>
      <c r="I330">
        <v>0.2477</v>
      </c>
      <c r="J330">
        <v>0.217</v>
      </c>
      <c r="K330">
        <v>1.1413</v>
      </c>
      <c r="L330" s="26">
        <v>4.2199999999999999E-10</v>
      </c>
      <c r="M330" s="26">
        <v>8.9999999999999995E-14</v>
      </c>
      <c r="N330" s="26">
        <v>9.27E-11</v>
      </c>
      <c r="O330" s="26">
        <v>7.81E-12</v>
      </c>
      <c r="P330" s="26">
        <v>1.66E-14</v>
      </c>
      <c r="Q330" s="26">
        <v>2.0499999999999999E-12</v>
      </c>
    </row>
    <row r="331" spans="1:17" x14ac:dyDescent="0.3">
      <c r="A331" t="s">
        <v>375</v>
      </c>
      <c r="B331">
        <v>78.049199999999999</v>
      </c>
      <c r="C331">
        <v>20.697399999999998</v>
      </c>
      <c r="D331">
        <v>0.93869999999999998</v>
      </c>
      <c r="E331">
        <v>0.28989999999999999</v>
      </c>
      <c r="F331">
        <v>2.8999999999999998E-3</v>
      </c>
      <c r="G331">
        <v>2.1899999999999999E-2</v>
      </c>
      <c r="H331">
        <v>695</v>
      </c>
      <c r="I331">
        <v>0.24579999999999999</v>
      </c>
      <c r="J331">
        <v>0.20760000000000001</v>
      </c>
      <c r="K331">
        <v>1.1839999999999999</v>
      </c>
      <c r="L331" s="26">
        <v>4.2199999999999999E-10</v>
      </c>
      <c r="M331" s="26">
        <v>9.1399999999999994E-14</v>
      </c>
      <c r="N331" s="26">
        <v>9.27E-11</v>
      </c>
      <c r="O331" s="26">
        <v>7.81E-12</v>
      </c>
      <c r="P331" s="26">
        <v>1.44E-14</v>
      </c>
      <c r="Q331" s="26">
        <v>2.03E-12</v>
      </c>
    </row>
    <row r="332" spans="1:17" x14ac:dyDescent="0.3">
      <c r="A332" t="s">
        <v>376</v>
      </c>
      <c r="B332">
        <v>78.049199999999999</v>
      </c>
      <c r="C332">
        <v>20.700700000000001</v>
      </c>
      <c r="D332">
        <v>0.93879999999999997</v>
      </c>
      <c r="E332">
        <v>0.28570000000000001</v>
      </c>
      <c r="F332">
        <v>3.8E-3</v>
      </c>
      <c r="G332">
        <v>2.18E-2</v>
      </c>
      <c r="H332">
        <v>718</v>
      </c>
      <c r="I332">
        <v>0.2417</v>
      </c>
      <c r="J332">
        <v>0.20100000000000001</v>
      </c>
      <c r="K332">
        <v>1.2024999999999999</v>
      </c>
      <c r="L332" s="26">
        <v>4.2199999999999999E-10</v>
      </c>
      <c r="M332" s="26">
        <v>9.1099999999999998E-14</v>
      </c>
      <c r="N332" s="26">
        <v>9.2800000000000005E-11</v>
      </c>
      <c r="O332" s="26">
        <v>7.81E-12</v>
      </c>
      <c r="P332" s="26">
        <v>1.6300000000000001E-14</v>
      </c>
      <c r="Q332" s="26">
        <v>2E-12</v>
      </c>
    </row>
    <row r="333" spans="1:17" x14ac:dyDescent="0.3">
      <c r="A333" t="s">
        <v>377</v>
      </c>
      <c r="B333">
        <v>78.051299999999998</v>
      </c>
      <c r="C333">
        <v>20.702200000000001</v>
      </c>
      <c r="D333">
        <v>0.93869999999999998</v>
      </c>
      <c r="E333">
        <v>0.28360000000000002</v>
      </c>
      <c r="F333">
        <v>2.8E-3</v>
      </c>
      <c r="G333">
        <v>2.1399999999999999E-2</v>
      </c>
      <c r="H333">
        <v>712</v>
      </c>
      <c r="I333">
        <v>0.23930000000000001</v>
      </c>
      <c r="J333">
        <v>0.19980000000000001</v>
      </c>
      <c r="K333">
        <v>1.1978</v>
      </c>
      <c r="L333" s="26">
        <v>4.2199999999999999E-10</v>
      </c>
      <c r="M333" s="26">
        <v>8.9600000000000004E-14</v>
      </c>
      <c r="N333" s="26">
        <v>9.2800000000000005E-11</v>
      </c>
      <c r="O333" s="26">
        <v>7.81E-12</v>
      </c>
      <c r="P333" s="26">
        <v>1.4E-14</v>
      </c>
      <c r="Q333" s="26">
        <v>1.9899999999999998E-12</v>
      </c>
    </row>
    <row r="334" spans="1:17" x14ac:dyDescent="0.3">
      <c r="A334" t="s">
        <v>378</v>
      </c>
      <c r="B334">
        <v>78.057100000000005</v>
      </c>
      <c r="C334">
        <v>20.697700000000001</v>
      </c>
      <c r="D334">
        <v>0.93930000000000002</v>
      </c>
      <c r="E334">
        <v>0.28249999999999997</v>
      </c>
      <c r="F334">
        <v>2.3999999999999998E-3</v>
      </c>
      <c r="G334">
        <v>2.1000000000000001E-2</v>
      </c>
      <c r="H334">
        <v>711</v>
      </c>
      <c r="I334">
        <v>0.23810000000000001</v>
      </c>
      <c r="J334">
        <v>0.20549999999999999</v>
      </c>
      <c r="K334">
        <v>1.1585000000000001</v>
      </c>
      <c r="L334" s="26">
        <v>4.2199999999999999E-10</v>
      </c>
      <c r="M334" s="26">
        <v>8.8000000000000004E-14</v>
      </c>
      <c r="N334" s="26">
        <v>9.2800000000000005E-11</v>
      </c>
      <c r="O334" s="26">
        <v>7.8200000000000002E-12</v>
      </c>
      <c r="P334" s="26">
        <v>1.3100000000000001E-14</v>
      </c>
      <c r="Q334" s="26">
        <v>1.98E-12</v>
      </c>
    </row>
    <row r="335" spans="1:17" x14ac:dyDescent="0.3">
      <c r="A335" t="s">
        <v>379</v>
      </c>
      <c r="B335">
        <v>78.050299999999993</v>
      </c>
      <c r="C335">
        <v>20.706900000000001</v>
      </c>
      <c r="D335">
        <v>0.93889999999999996</v>
      </c>
      <c r="E335">
        <v>0.27839999999999998</v>
      </c>
      <c r="F335">
        <v>4.5999999999999999E-3</v>
      </c>
      <c r="G335">
        <v>2.0899999999999998E-2</v>
      </c>
      <c r="H335">
        <v>701</v>
      </c>
      <c r="I335">
        <v>0.23449999999999999</v>
      </c>
      <c r="J335">
        <v>0.2011</v>
      </c>
      <c r="K335">
        <v>1.1658999999999999</v>
      </c>
      <c r="L335" s="26">
        <v>4.2199999999999999E-10</v>
      </c>
      <c r="M335" s="26">
        <v>8.7500000000000006E-14</v>
      </c>
      <c r="N335" s="26">
        <v>9.2800000000000005E-11</v>
      </c>
      <c r="O335" s="26">
        <v>7.81E-12</v>
      </c>
      <c r="P335" s="26">
        <v>1.77E-14</v>
      </c>
      <c r="Q335" s="26">
        <v>1.9600000000000001E-12</v>
      </c>
    </row>
    <row r="336" spans="1:17" x14ac:dyDescent="0.3">
      <c r="A336" t="s">
        <v>380</v>
      </c>
      <c r="B336">
        <v>78.054900000000004</v>
      </c>
      <c r="C336">
        <v>20.704999999999998</v>
      </c>
      <c r="D336">
        <v>0.93899999999999995</v>
      </c>
      <c r="E336">
        <v>0.27750000000000002</v>
      </c>
      <c r="F336">
        <v>2.2000000000000001E-3</v>
      </c>
      <c r="G336">
        <v>2.1299999999999999E-2</v>
      </c>
      <c r="H336">
        <v>701</v>
      </c>
      <c r="I336">
        <v>0.23369999999999999</v>
      </c>
      <c r="J336">
        <v>0.2</v>
      </c>
      <c r="K336">
        <v>1.1680999999999999</v>
      </c>
      <c r="L336" s="26">
        <v>4.2199999999999999E-10</v>
      </c>
      <c r="M336" s="26">
        <v>8.9200000000000001E-14</v>
      </c>
      <c r="N336" s="26">
        <v>9.2800000000000005E-11</v>
      </c>
      <c r="O336" s="26">
        <v>7.81E-12</v>
      </c>
      <c r="P336" s="26">
        <v>1.26E-14</v>
      </c>
      <c r="Q336" s="26">
        <v>1.9399999999999998E-12</v>
      </c>
    </row>
    <row r="337" spans="1:17" x14ac:dyDescent="0.3">
      <c r="A337" t="s">
        <v>381</v>
      </c>
      <c r="B337">
        <v>78.054000000000002</v>
      </c>
      <c r="C337">
        <v>20.708600000000001</v>
      </c>
      <c r="D337">
        <v>0.93879999999999997</v>
      </c>
      <c r="E337">
        <v>0.27400000000000002</v>
      </c>
      <c r="F337">
        <v>4.0000000000000001E-3</v>
      </c>
      <c r="G337">
        <v>2.07E-2</v>
      </c>
      <c r="H337">
        <v>692</v>
      </c>
      <c r="I337">
        <v>0.22939999999999999</v>
      </c>
      <c r="J337">
        <v>0.19700000000000001</v>
      </c>
      <c r="K337">
        <v>1.1647000000000001</v>
      </c>
      <c r="L337" s="26">
        <v>4.2199999999999999E-10</v>
      </c>
      <c r="M337" s="26">
        <v>8.6900000000000001E-14</v>
      </c>
      <c r="N337" s="26">
        <v>9.2800000000000005E-11</v>
      </c>
      <c r="O337" s="26">
        <v>7.81E-12</v>
      </c>
      <c r="P337" s="26">
        <v>1.6400000000000001E-14</v>
      </c>
      <c r="Q337" s="26">
        <v>1.9199999999999999E-12</v>
      </c>
    </row>
    <row r="338" spans="1:17" x14ac:dyDescent="0.3">
      <c r="A338" t="s">
        <v>382</v>
      </c>
      <c r="B338">
        <v>78.052300000000002</v>
      </c>
      <c r="C338">
        <v>20.712900000000001</v>
      </c>
      <c r="D338">
        <v>0.93879999999999997</v>
      </c>
      <c r="E338">
        <v>0.27210000000000001</v>
      </c>
      <c r="F338">
        <v>3.5000000000000001E-3</v>
      </c>
      <c r="G338">
        <v>2.0500000000000001E-2</v>
      </c>
      <c r="H338">
        <v>690</v>
      </c>
      <c r="I338">
        <v>0.22739999999999999</v>
      </c>
      <c r="J338">
        <v>0.19</v>
      </c>
      <c r="K338">
        <v>1.1973</v>
      </c>
      <c r="L338" s="26">
        <v>4.2199999999999999E-10</v>
      </c>
      <c r="M338" s="26">
        <v>8.6099999999999994E-14</v>
      </c>
      <c r="N338" s="26">
        <v>9.2800000000000005E-11</v>
      </c>
      <c r="O338" s="26">
        <v>7.81E-12</v>
      </c>
      <c r="P338" s="26">
        <v>1.5200000000000001E-14</v>
      </c>
      <c r="Q338" s="26">
        <v>1.9100000000000001E-12</v>
      </c>
    </row>
    <row r="339" spans="1:17" x14ac:dyDescent="0.3">
      <c r="A339" t="s">
        <v>383</v>
      </c>
      <c r="B339">
        <v>78.058999999999997</v>
      </c>
      <c r="C339">
        <v>20.709</v>
      </c>
      <c r="D339">
        <v>0.93930000000000002</v>
      </c>
      <c r="E339">
        <v>0.26879999999999998</v>
      </c>
      <c r="F339">
        <v>3.5000000000000001E-3</v>
      </c>
      <c r="G339">
        <v>2.0500000000000001E-2</v>
      </c>
      <c r="H339">
        <v>708</v>
      </c>
      <c r="I339">
        <v>0.2243</v>
      </c>
      <c r="J339">
        <v>0.19409999999999999</v>
      </c>
      <c r="K339">
        <v>1.1555</v>
      </c>
      <c r="L339" s="26">
        <v>4.2199999999999999E-10</v>
      </c>
      <c r="M339" s="26">
        <v>8.6E-14</v>
      </c>
      <c r="N339" s="26">
        <v>9.2800000000000005E-11</v>
      </c>
      <c r="O339" s="26">
        <v>7.81E-12</v>
      </c>
      <c r="P339" s="26">
        <v>1.5200000000000001E-14</v>
      </c>
      <c r="Q339" s="26">
        <v>1.8899999999999998E-12</v>
      </c>
    </row>
    <row r="340" spans="1:17" x14ac:dyDescent="0.3">
      <c r="A340" t="s">
        <v>384</v>
      </c>
      <c r="B340">
        <v>78.061700000000002</v>
      </c>
      <c r="C340">
        <v>20.71</v>
      </c>
      <c r="D340">
        <v>0.93859999999999999</v>
      </c>
      <c r="E340">
        <v>0.26690000000000003</v>
      </c>
      <c r="F340">
        <v>2.7000000000000001E-3</v>
      </c>
      <c r="G340">
        <v>2.01E-2</v>
      </c>
      <c r="H340">
        <v>705</v>
      </c>
      <c r="I340">
        <v>0.22270000000000001</v>
      </c>
      <c r="J340">
        <v>0.19869999999999999</v>
      </c>
      <c r="K340">
        <v>1.1206</v>
      </c>
      <c r="L340" s="26">
        <v>4.2199999999999999E-10</v>
      </c>
      <c r="M340" s="26">
        <v>8.46E-14</v>
      </c>
      <c r="N340" s="26">
        <v>9.2800000000000005E-11</v>
      </c>
      <c r="O340" s="26">
        <v>7.81E-12</v>
      </c>
      <c r="P340" s="26">
        <v>1.34E-14</v>
      </c>
      <c r="Q340" s="26">
        <v>1.8699999999999999E-12</v>
      </c>
    </row>
    <row r="341" spans="1:17" x14ac:dyDescent="0.3">
      <c r="A341" t="s">
        <v>385</v>
      </c>
      <c r="B341">
        <v>78.057400000000001</v>
      </c>
      <c r="C341">
        <v>20.715699999999998</v>
      </c>
      <c r="D341">
        <v>0.93920000000000003</v>
      </c>
      <c r="E341">
        <v>0.26469999999999999</v>
      </c>
      <c r="F341">
        <v>2.5999999999999999E-3</v>
      </c>
      <c r="G341">
        <v>2.0500000000000001E-2</v>
      </c>
      <c r="H341">
        <v>699</v>
      </c>
      <c r="I341">
        <v>0.22059999999999999</v>
      </c>
      <c r="J341">
        <v>0.1991</v>
      </c>
      <c r="K341">
        <v>1.1081000000000001</v>
      </c>
      <c r="L341" s="26">
        <v>4.2199999999999999E-10</v>
      </c>
      <c r="M341" s="26">
        <v>8.5900000000000005E-14</v>
      </c>
      <c r="N341" s="26">
        <v>9.2800000000000005E-11</v>
      </c>
      <c r="O341" s="26">
        <v>7.81E-12</v>
      </c>
      <c r="P341" s="26">
        <v>1.32E-14</v>
      </c>
      <c r="Q341" s="26">
        <v>1.85E-12</v>
      </c>
    </row>
    <row r="342" spans="1:17" x14ac:dyDescent="0.3">
      <c r="A342" t="s">
        <v>386</v>
      </c>
      <c r="B342">
        <v>78.061400000000006</v>
      </c>
      <c r="C342">
        <v>20.715699999999998</v>
      </c>
      <c r="D342">
        <v>0.93869999999999998</v>
      </c>
      <c r="E342">
        <v>0.26090000000000002</v>
      </c>
      <c r="F342">
        <v>2.8999999999999998E-3</v>
      </c>
      <c r="G342">
        <v>2.0400000000000001E-2</v>
      </c>
      <c r="H342">
        <v>694</v>
      </c>
      <c r="I342">
        <v>0.217</v>
      </c>
      <c r="J342">
        <v>0.18990000000000001</v>
      </c>
      <c r="K342">
        <v>1.1423000000000001</v>
      </c>
      <c r="L342" s="26">
        <v>4.2199999999999999E-10</v>
      </c>
      <c r="M342" s="26">
        <v>8.5799999999999998E-14</v>
      </c>
      <c r="N342" s="26">
        <v>9.2800000000000005E-11</v>
      </c>
      <c r="O342" s="26">
        <v>7.7999999999999999E-12</v>
      </c>
      <c r="P342" s="26">
        <v>1.3899999999999999E-14</v>
      </c>
      <c r="Q342" s="26">
        <v>1.8300000000000001E-12</v>
      </c>
    </row>
    <row r="343" spans="1:17" x14ac:dyDescent="0.3">
      <c r="A343" t="s">
        <v>387</v>
      </c>
      <c r="B343">
        <v>78.060199999999995</v>
      </c>
      <c r="C343">
        <v>20.721699999999998</v>
      </c>
      <c r="D343">
        <v>0.93899999999999995</v>
      </c>
      <c r="E343">
        <v>0.25679999999999997</v>
      </c>
      <c r="F343">
        <v>2E-3</v>
      </c>
      <c r="G343">
        <v>2.0299999999999999E-2</v>
      </c>
      <c r="H343">
        <v>715</v>
      </c>
      <c r="I343">
        <v>0.21260000000000001</v>
      </c>
      <c r="J343">
        <v>0.18890000000000001</v>
      </c>
      <c r="K343">
        <v>1.1253</v>
      </c>
      <c r="L343" s="26">
        <v>4.2199999999999999E-10</v>
      </c>
      <c r="M343" s="26">
        <v>8.5099999999999998E-14</v>
      </c>
      <c r="N343" s="26">
        <v>9.2800000000000005E-11</v>
      </c>
      <c r="O343" s="26">
        <v>7.7999999999999999E-12</v>
      </c>
      <c r="P343" s="26">
        <v>1.1999999999999999E-14</v>
      </c>
      <c r="Q343" s="26">
        <v>1.8E-12</v>
      </c>
    </row>
    <row r="344" spans="1:17" x14ac:dyDescent="0.3">
      <c r="A344" t="s">
        <v>388</v>
      </c>
      <c r="B344">
        <v>78.063199999999995</v>
      </c>
      <c r="C344">
        <v>20.719899999999999</v>
      </c>
      <c r="D344">
        <v>0.93889999999999996</v>
      </c>
      <c r="E344">
        <v>0.25380000000000003</v>
      </c>
      <c r="F344">
        <v>3.8999999999999998E-3</v>
      </c>
      <c r="G344">
        <v>2.01E-2</v>
      </c>
      <c r="H344">
        <v>735</v>
      </c>
      <c r="I344">
        <v>0.2094</v>
      </c>
      <c r="J344">
        <v>0.18509999999999999</v>
      </c>
      <c r="K344">
        <v>1.1308</v>
      </c>
      <c r="L344" s="26">
        <v>4.2299999999999999E-10</v>
      </c>
      <c r="M344" s="26">
        <v>8.4899999999999997E-14</v>
      </c>
      <c r="N344" s="26">
        <v>9.3099999999999994E-11</v>
      </c>
      <c r="O344" s="26">
        <v>7.8300000000000004E-12</v>
      </c>
      <c r="P344" s="26">
        <v>1.6099999999999999E-14</v>
      </c>
      <c r="Q344" s="26">
        <v>1.79E-12</v>
      </c>
    </row>
    <row r="345" spans="1:17" x14ac:dyDescent="0.3">
      <c r="A345" t="s">
        <v>389</v>
      </c>
      <c r="B345">
        <v>78.064999999999998</v>
      </c>
      <c r="C345">
        <v>20.720099999999999</v>
      </c>
      <c r="D345">
        <v>0.93869999999999998</v>
      </c>
      <c r="E345">
        <v>0.2525</v>
      </c>
      <c r="F345">
        <v>3.3999999999999998E-3</v>
      </c>
      <c r="G345">
        <v>2.0400000000000001E-2</v>
      </c>
      <c r="H345">
        <v>709</v>
      </c>
      <c r="I345">
        <v>0.2082</v>
      </c>
      <c r="J345">
        <v>0.188</v>
      </c>
      <c r="K345">
        <v>1.1073</v>
      </c>
      <c r="L345" s="26">
        <v>4.2199999999999999E-10</v>
      </c>
      <c r="M345" s="26">
        <v>8.5399999999999995E-14</v>
      </c>
      <c r="N345" s="26">
        <v>9.2800000000000005E-11</v>
      </c>
      <c r="O345" s="26">
        <v>7.7999999999999999E-12</v>
      </c>
      <c r="P345" s="26">
        <v>1.4900000000000002E-14</v>
      </c>
      <c r="Q345" s="26">
        <v>1.7699999999999999E-12</v>
      </c>
    </row>
    <row r="346" spans="1:17" x14ac:dyDescent="0.3">
      <c r="A346" t="s">
        <v>390</v>
      </c>
      <c r="B346">
        <v>78.063699999999997</v>
      </c>
      <c r="C346">
        <v>20.723500000000001</v>
      </c>
      <c r="D346">
        <v>0.93940000000000001</v>
      </c>
      <c r="E346">
        <v>0.25019999999999998</v>
      </c>
      <c r="F346">
        <v>3.3E-3</v>
      </c>
      <c r="G346">
        <v>0.02</v>
      </c>
      <c r="H346">
        <v>691</v>
      </c>
      <c r="I346">
        <v>0.20580000000000001</v>
      </c>
      <c r="J346">
        <v>0.18190000000000001</v>
      </c>
      <c r="K346">
        <v>1.1318999999999999</v>
      </c>
      <c r="L346" s="26">
        <v>4.2099999999999999E-10</v>
      </c>
      <c r="M346" s="26">
        <v>8.4100000000000003E-14</v>
      </c>
      <c r="N346" s="26">
        <v>9.27E-11</v>
      </c>
      <c r="O346" s="26">
        <v>7.7999999999999999E-12</v>
      </c>
      <c r="P346" s="26">
        <v>1.4599999999999999E-14</v>
      </c>
      <c r="Q346" s="26">
        <v>1.75E-12</v>
      </c>
    </row>
    <row r="347" spans="1:17" x14ac:dyDescent="0.3">
      <c r="A347" t="s">
        <v>391</v>
      </c>
      <c r="B347">
        <v>78.060699999999997</v>
      </c>
      <c r="C347">
        <v>20.7286</v>
      </c>
      <c r="D347">
        <v>0.93969999999999998</v>
      </c>
      <c r="E347">
        <v>0.2487</v>
      </c>
      <c r="F347">
        <v>2.7000000000000001E-3</v>
      </c>
      <c r="G347">
        <v>1.9699999999999999E-2</v>
      </c>
      <c r="H347">
        <v>694</v>
      </c>
      <c r="I347">
        <v>0.20449999999999999</v>
      </c>
      <c r="J347">
        <v>0.17749999999999999</v>
      </c>
      <c r="K347">
        <v>1.1519999999999999</v>
      </c>
      <c r="L347" s="26">
        <v>4.2099999999999999E-10</v>
      </c>
      <c r="M347" s="26">
        <v>8.2599999999999996E-14</v>
      </c>
      <c r="N347" s="26">
        <v>9.2800000000000005E-11</v>
      </c>
      <c r="O347" s="26">
        <v>7.81E-12</v>
      </c>
      <c r="P347" s="26">
        <v>1.32E-14</v>
      </c>
      <c r="Q347" s="26">
        <v>1.7400000000000001E-12</v>
      </c>
    </row>
    <row r="348" spans="1:17" x14ac:dyDescent="0.3">
      <c r="A348" t="s">
        <v>392</v>
      </c>
      <c r="B348">
        <v>78.060400000000001</v>
      </c>
      <c r="C348">
        <v>20.729600000000001</v>
      </c>
      <c r="D348">
        <v>0.93940000000000001</v>
      </c>
      <c r="E348">
        <v>0.247</v>
      </c>
      <c r="F348">
        <v>3.3E-3</v>
      </c>
      <c r="G348">
        <v>2.0299999999999999E-2</v>
      </c>
      <c r="H348">
        <v>691</v>
      </c>
      <c r="I348">
        <v>0.20250000000000001</v>
      </c>
      <c r="J348">
        <v>0.1787</v>
      </c>
      <c r="K348">
        <v>1.1333</v>
      </c>
      <c r="L348" s="26">
        <v>4.2199999999999999E-10</v>
      </c>
      <c r="M348" s="26">
        <v>8.5000000000000004E-14</v>
      </c>
      <c r="N348" s="26">
        <v>9.2800000000000005E-11</v>
      </c>
      <c r="O348" s="26">
        <v>7.81E-12</v>
      </c>
      <c r="P348" s="26">
        <v>1.4599999999999999E-14</v>
      </c>
      <c r="Q348" s="26">
        <v>1.7300000000000001E-12</v>
      </c>
    </row>
    <row r="349" spans="1:17" x14ac:dyDescent="0.3">
      <c r="A349" t="s">
        <v>393</v>
      </c>
      <c r="B349">
        <v>78.058700000000002</v>
      </c>
      <c r="C349">
        <v>20.732700000000001</v>
      </c>
      <c r="D349">
        <v>0.93959999999999999</v>
      </c>
      <c r="E349">
        <v>0.2462</v>
      </c>
      <c r="F349">
        <v>3.3E-3</v>
      </c>
      <c r="G349">
        <v>1.95E-2</v>
      </c>
      <c r="H349">
        <v>709</v>
      </c>
      <c r="I349">
        <v>0.20200000000000001</v>
      </c>
      <c r="J349">
        <v>0.17549999999999999</v>
      </c>
      <c r="K349">
        <v>1.1511</v>
      </c>
      <c r="L349" s="26">
        <v>4.2099999999999999E-10</v>
      </c>
      <c r="M349" s="26">
        <v>8.2099999999999999E-14</v>
      </c>
      <c r="N349" s="26">
        <v>9.2800000000000005E-11</v>
      </c>
      <c r="O349" s="26">
        <v>7.7999999999999999E-12</v>
      </c>
      <c r="P349" s="26">
        <v>1.4599999999999999E-14</v>
      </c>
      <c r="Q349" s="26">
        <v>1.7300000000000001E-12</v>
      </c>
    </row>
    <row r="350" spans="1:17" x14ac:dyDescent="0.3">
      <c r="A350" t="s">
        <v>394</v>
      </c>
      <c r="B350">
        <v>78.066400000000002</v>
      </c>
      <c r="C350">
        <v>20.726800000000001</v>
      </c>
      <c r="D350">
        <v>0.93889999999999996</v>
      </c>
      <c r="E350">
        <v>0.24490000000000001</v>
      </c>
      <c r="F350">
        <v>3.0999999999999999E-3</v>
      </c>
      <c r="G350">
        <v>1.9900000000000001E-2</v>
      </c>
      <c r="H350">
        <v>698</v>
      </c>
      <c r="I350">
        <v>0.2001</v>
      </c>
      <c r="J350">
        <v>0.17960000000000001</v>
      </c>
      <c r="K350">
        <v>1.1140000000000001</v>
      </c>
      <c r="L350" s="26">
        <v>4.2199999999999999E-10</v>
      </c>
      <c r="M350" s="26">
        <v>8.3499999999999998E-14</v>
      </c>
      <c r="N350" s="26">
        <v>9.2800000000000005E-11</v>
      </c>
      <c r="O350" s="26">
        <v>7.7999999999999999E-12</v>
      </c>
      <c r="P350" s="26">
        <v>1.42E-14</v>
      </c>
      <c r="Q350" s="26">
        <v>1.7199999999999999E-12</v>
      </c>
    </row>
    <row r="351" spans="1:17" x14ac:dyDescent="0.3">
      <c r="A351" t="s">
        <v>395</v>
      </c>
      <c r="B351">
        <v>78.061999999999998</v>
      </c>
      <c r="C351">
        <v>20.7316</v>
      </c>
      <c r="D351">
        <v>0.93910000000000005</v>
      </c>
      <c r="E351">
        <v>0.24310000000000001</v>
      </c>
      <c r="F351">
        <v>3.7000000000000002E-3</v>
      </c>
      <c r="G351">
        <v>2.0500000000000001E-2</v>
      </c>
      <c r="H351">
        <v>694</v>
      </c>
      <c r="I351">
        <v>0.19850000000000001</v>
      </c>
      <c r="J351">
        <v>0.1706</v>
      </c>
      <c r="K351">
        <v>1.1640999999999999</v>
      </c>
      <c r="L351" s="26">
        <v>4.2099999999999999E-10</v>
      </c>
      <c r="M351" s="26">
        <v>8.6E-14</v>
      </c>
      <c r="N351" s="26">
        <v>9.2800000000000005E-11</v>
      </c>
      <c r="O351" s="26">
        <v>7.7999999999999999E-12</v>
      </c>
      <c r="P351" s="26">
        <v>1.5699999999999999E-14</v>
      </c>
      <c r="Q351" s="26">
        <v>1.71E-12</v>
      </c>
    </row>
    <row r="352" spans="1:17" x14ac:dyDescent="0.3">
      <c r="A352" t="s">
        <v>396</v>
      </c>
      <c r="B352">
        <v>78.067300000000003</v>
      </c>
      <c r="C352">
        <v>20.729700000000001</v>
      </c>
      <c r="D352">
        <v>0.93899999999999995</v>
      </c>
      <c r="E352">
        <v>0.2412</v>
      </c>
      <c r="F352">
        <v>2.8E-3</v>
      </c>
      <c r="G352">
        <v>0.02</v>
      </c>
      <c r="H352">
        <v>714</v>
      </c>
      <c r="I352">
        <v>0.1976</v>
      </c>
      <c r="J352">
        <v>0.1784</v>
      </c>
      <c r="K352">
        <v>1.1075999999999999</v>
      </c>
      <c r="L352" s="26">
        <v>4.2199999999999999E-10</v>
      </c>
      <c r="M352" s="26">
        <v>8.3999999999999995E-14</v>
      </c>
      <c r="N352" s="26">
        <v>9.2800000000000005E-11</v>
      </c>
      <c r="O352" s="26">
        <v>7.7999999999999999E-12</v>
      </c>
      <c r="P352" s="26">
        <v>1.36E-14</v>
      </c>
      <c r="Q352" s="26">
        <v>1.6900000000000001E-12</v>
      </c>
    </row>
    <row r="353" spans="1:17" x14ac:dyDescent="0.3">
      <c r="A353" t="s">
        <v>397</v>
      </c>
      <c r="B353">
        <v>78.063800000000001</v>
      </c>
      <c r="C353">
        <v>20.732700000000001</v>
      </c>
      <c r="D353">
        <v>0.93930000000000002</v>
      </c>
      <c r="E353">
        <v>0.24060000000000001</v>
      </c>
      <c r="F353">
        <v>3.7000000000000002E-3</v>
      </c>
      <c r="G353">
        <v>1.9900000000000001E-2</v>
      </c>
      <c r="H353">
        <v>707</v>
      </c>
      <c r="I353">
        <v>0.19670000000000001</v>
      </c>
      <c r="J353">
        <v>0.17269999999999999</v>
      </c>
      <c r="K353">
        <v>1.1384000000000001</v>
      </c>
      <c r="L353" s="26">
        <v>4.2199999999999999E-10</v>
      </c>
      <c r="M353" s="26">
        <v>8.3600000000000005E-14</v>
      </c>
      <c r="N353" s="26">
        <v>9.2800000000000005E-11</v>
      </c>
      <c r="O353" s="26">
        <v>7.81E-12</v>
      </c>
      <c r="P353" s="26">
        <v>1.55E-14</v>
      </c>
      <c r="Q353" s="26">
        <v>1.6900000000000001E-12</v>
      </c>
    </row>
    <row r="354" spans="1:17" x14ac:dyDescent="0.3">
      <c r="A354" t="s">
        <v>398</v>
      </c>
      <c r="B354">
        <v>78.068600000000004</v>
      </c>
      <c r="C354">
        <v>20.729199999999999</v>
      </c>
      <c r="D354">
        <v>0.93940000000000001</v>
      </c>
      <c r="E354">
        <v>0.23899999999999999</v>
      </c>
      <c r="F354">
        <v>3.7000000000000002E-3</v>
      </c>
      <c r="G354">
        <v>1.9900000000000001E-2</v>
      </c>
      <c r="H354">
        <v>696</v>
      </c>
      <c r="I354">
        <v>0.19420000000000001</v>
      </c>
      <c r="J354">
        <v>0.184</v>
      </c>
      <c r="K354">
        <v>1.0550999999999999</v>
      </c>
      <c r="L354" s="26">
        <v>4.2199999999999999E-10</v>
      </c>
      <c r="M354" s="26">
        <v>8.3799999999999994E-14</v>
      </c>
      <c r="N354" s="26">
        <v>9.2800000000000005E-11</v>
      </c>
      <c r="O354" s="26">
        <v>7.81E-12</v>
      </c>
      <c r="P354" s="26">
        <v>1.5600000000000001E-14</v>
      </c>
      <c r="Q354" s="26">
        <v>1.6799999999999999E-12</v>
      </c>
    </row>
    <row r="355" spans="1:17" x14ac:dyDescent="0.3">
      <c r="A355" t="s">
        <v>399</v>
      </c>
      <c r="B355">
        <v>78.066199999999995</v>
      </c>
      <c r="C355">
        <v>20.734400000000001</v>
      </c>
      <c r="D355">
        <v>0.9395</v>
      </c>
      <c r="E355">
        <v>0.23760000000000001</v>
      </c>
      <c r="F355">
        <v>2.5000000000000001E-3</v>
      </c>
      <c r="G355">
        <v>1.9800000000000002E-2</v>
      </c>
      <c r="H355">
        <v>698</v>
      </c>
      <c r="I355">
        <v>0.19359999999999999</v>
      </c>
      <c r="J355">
        <v>0.17280000000000001</v>
      </c>
      <c r="K355">
        <v>1.1201000000000001</v>
      </c>
      <c r="L355" s="26">
        <v>4.2199999999999999E-10</v>
      </c>
      <c r="M355" s="26">
        <v>8.3200000000000001E-14</v>
      </c>
      <c r="N355" s="26">
        <v>9.2800000000000005E-11</v>
      </c>
      <c r="O355" s="26">
        <v>7.81E-12</v>
      </c>
      <c r="P355" s="26">
        <v>1.28E-14</v>
      </c>
      <c r="Q355" s="26">
        <v>1.66E-12</v>
      </c>
    </row>
    <row r="356" spans="1:17" x14ac:dyDescent="0.3">
      <c r="A356" t="s">
        <v>400</v>
      </c>
      <c r="B356">
        <v>78.061700000000002</v>
      </c>
      <c r="C356">
        <v>20.739699999999999</v>
      </c>
      <c r="D356">
        <v>0.93930000000000002</v>
      </c>
      <c r="E356">
        <v>0.2364</v>
      </c>
      <c r="F356">
        <v>3.0000000000000001E-3</v>
      </c>
      <c r="G356">
        <v>0.02</v>
      </c>
      <c r="H356">
        <v>691</v>
      </c>
      <c r="I356">
        <v>0.19170000000000001</v>
      </c>
      <c r="J356">
        <v>0.17030000000000001</v>
      </c>
      <c r="K356">
        <v>1.1256999999999999</v>
      </c>
      <c r="L356" s="26">
        <v>4.2199999999999999E-10</v>
      </c>
      <c r="M356" s="26">
        <v>8.4100000000000003E-14</v>
      </c>
      <c r="N356" s="26">
        <v>9.2899999999999997E-11</v>
      </c>
      <c r="O356" s="26">
        <v>7.81E-12</v>
      </c>
      <c r="P356" s="26">
        <v>1.3899999999999999E-14</v>
      </c>
      <c r="Q356" s="26">
        <v>1.66E-12</v>
      </c>
    </row>
    <row r="357" spans="1:17" x14ac:dyDescent="0.3">
      <c r="A357" t="s">
        <v>401</v>
      </c>
      <c r="B357">
        <v>78.065700000000007</v>
      </c>
      <c r="C357">
        <v>20.7376</v>
      </c>
      <c r="D357">
        <v>0.93920000000000003</v>
      </c>
      <c r="E357">
        <v>0.23430000000000001</v>
      </c>
      <c r="F357">
        <v>3.3999999999999998E-3</v>
      </c>
      <c r="G357">
        <v>1.9699999999999999E-2</v>
      </c>
      <c r="H357">
        <v>687</v>
      </c>
      <c r="I357">
        <v>0.18940000000000001</v>
      </c>
      <c r="J357">
        <v>0.17119999999999999</v>
      </c>
      <c r="K357">
        <v>1.1062000000000001</v>
      </c>
      <c r="L357" s="26">
        <v>4.2199999999999999E-10</v>
      </c>
      <c r="M357" s="26">
        <v>8.3099999999999994E-14</v>
      </c>
      <c r="N357" s="26">
        <v>9.2899999999999997E-11</v>
      </c>
      <c r="O357" s="26">
        <v>7.81E-12</v>
      </c>
      <c r="P357" s="26">
        <v>1.4900000000000002E-14</v>
      </c>
      <c r="Q357" s="26">
        <v>1.65E-12</v>
      </c>
    </row>
    <row r="358" spans="1:17" x14ac:dyDescent="0.3">
      <c r="A358" t="s">
        <v>402</v>
      </c>
      <c r="B358">
        <v>78.070999999999998</v>
      </c>
      <c r="C358">
        <v>20.7347</v>
      </c>
      <c r="D358">
        <v>0.93920000000000003</v>
      </c>
      <c r="E358">
        <v>0.23319999999999999</v>
      </c>
      <c r="F358">
        <v>3.2000000000000002E-3</v>
      </c>
      <c r="G358">
        <v>1.8700000000000001E-2</v>
      </c>
      <c r="H358">
        <v>709</v>
      </c>
      <c r="I358">
        <v>0.18870000000000001</v>
      </c>
      <c r="J358">
        <v>0.1714</v>
      </c>
      <c r="K358">
        <v>1.101</v>
      </c>
      <c r="L358" s="26">
        <v>4.2199999999999999E-10</v>
      </c>
      <c r="M358" s="26">
        <v>7.9000000000000004E-14</v>
      </c>
      <c r="N358" s="26">
        <v>9.2899999999999997E-11</v>
      </c>
      <c r="O358" s="26">
        <v>7.8200000000000002E-12</v>
      </c>
      <c r="P358" s="26">
        <v>1.3899999999999999E-14</v>
      </c>
      <c r="Q358" s="26">
        <v>1.6400000000000001E-12</v>
      </c>
    </row>
    <row r="359" spans="1:17" x14ac:dyDescent="0.3">
      <c r="A359" t="s">
        <v>403</v>
      </c>
      <c r="B359">
        <v>78.0715</v>
      </c>
      <c r="C359">
        <v>20.735299999999999</v>
      </c>
      <c r="D359">
        <v>0.93869999999999998</v>
      </c>
      <c r="E359">
        <v>0.23219999999999999</v>
      </c>
      <c r="F359">
        <v>2.5000000000000001E-3</v>
      </c>
      <c r="G359">
        <v>1.9699999999999999E-2</v>
      </c>
      <c r="H359">
        <v>705</v>
      </c>
      <c r="I359">
        <v>0.18740000000000001</v>
      </c>
      <c r="J359">
        <v>0.17169999999999999</v>
      </c>
      <c r="K359">
        <v>1.0911999999999999</v>
      </c>
      <c r="L359" s="26">
        <v>4.2199999999999999E-10</v>
      </c>
      <c r="M359" s="26">
        <v>8.2799999999999998E-14</v>
      </c>
      <c r="N359" s="26">
        <v>9.2899999999999997E-11</v>
      </c>
      <c r="O359" s="26">
        <v>7.81E-12</v>
      </c>
      <c r="P359" s="26">
        <v>1.27E-14</v>
      </c>
      <c r="Q359" s="26">
        <v>1.6299999999999999E-12</v>
      </c>
    </row>
    <row r="360" spans="1:17" x14ac:dyDescent="0.3">
      <c r="A360" t="s">
        <v>404</v>
      </c>
      <c r="B360">
        <v>78.067599999999999</v>
      </c>
      <c r="C360">
        <v>20.74</v>
      </c>
      <c r="D360">
        <v>0.93940000000000001</v>
      </c>
      <c r="E360">
        <v>0.2293</v>
      </c>
      <c r="F360">
        <v>4.3E-3</v>
      </c>
      <c r="G360">
        <v>1.9400000000000001E-2</v>
      </c>
      <c r="H360">
        <v>682</v>
      </c>
      <c r="I360">
        <v>0.18479999999999999</v>
      </c>
      <c r="J360">
        <v>0.1721</v>
      </c>
      <c r="K360">
        <v>1.0733999999999999</v>
      </c>
      <c r="L360" s="26">
        <v>4.2099999999999999E-10</v>
      </c>
      <c r="M360" s="26">
        <v>8.1500000000000006E-14</v>
      </c>
      <c r="N360" s="26">
        <v>9.27E-11</v>
      </c>
      <c r="O360" s="26">
        <v>7.7899999999999997E-12</v>
      </c>
      <c r="P360" s="26">
        <v>1.66E-14</v>
      </c>
      <c r="Q360" s="26">
        <v>1.61E-12</v>
      </c>
    </row>
    <row r="361" spans="1:17" x14ac:dyDescent="0.3">
      <c r="A361" t="s">
        <v>405</v>
      </c>
      <c r="B361">
        <v>78.071399999999997</v>
      </c>
      <c r="C361">
        <v>20.7378</v>
      </c>
      <c r="D361">
        <v>0.93969999999999998</v>
      </c>
      <c r="E361">
        <v>0.2291</v>
      </c>
      <c r="F361">
        <v>2.5000000000000001E-3</v>
      </c>
      <c r="G361">
        <v>1.95E-2</v>
      </c>
      <c r="H361">
        <v>695</v>
      </c>
      <c r="I361">
        <v>0.18440000000000001</v>
      </c>
      <c r="J361">
        <v>0.16800000000000001</v>
      </c>
      <c r="K361">
        <v>1.0973999999999999</v>
      </c>
      <c r="L361" s="26">
        <v>4.2199999999999999E-10</v>
      </c>
      <c r="M361" s="26">
        <v>8.2099999999999999E-14</v>
      </c>
      <c r="N361" s="26">
        <v>9.2800000000000005E-11</v>
      </c>
      <c r="O361" s="26">
        <v>7.81E-12</v>
      </c>
      <c r="P361" s="26">
        <v>1.26E-14</v>
      </c>
      <c r="Q361" s="26">
        <v>1.61E-12</v>
      </c>
    </row>
    <row r="362" spans="1:17" x14ac:dyDescent="0.3">
      <c r="A362" t="s">
        <v>406</v>
      </c>
      <c r="B362">
        <v>78.068200000000004</v>
      </c>
      <c r="C362">
        <v>20.7425</v>
      </c>
      <c r="D362">
        <v>0.93910000000000005</v>
      </c>
      <c r="E362">
        <v>0.2278</v>
      </c>
      <c r="F362">
        <v>3.3E-3</v>
      </c>
      <c r="G362">
        <v>1.9099999999999999E-2</v>
      </c>
      <c r="H362">
        <v>687</v>
      </c>
      <c r="I362">
        <v>0.18290000000000001</v>
      </c>
      <c r="J362">
        <v>0.1691</v>
      </c>
      <c r="K362">
        <v>1.0817000000000001</v>
      </c>
      <c r="L362" s="26">
        <v>4.2199999999999999E-10</v>
      </c>
      <c r="M362" s="26">
        <v>8.0400000000000003E-14</v>
      </c>
      <c r="N362" s="26">
        <v>9.2800000000000005E-11</v>
      </c>
      <c r="O362" s="26">
        <v>7.7999999999999999E-12</v>
      </c>
      <c r="P362" s="26">
        <v>1.44E-14</v>
      </c>
      <c r="Q362" s="26">
        <v>1.6E-12</v>
      </c>
    </row>
    <row r="363" spans="1:17" x14ac:dyDescent="0.3">
      <c r="A363" t="s">
        <v>407</v>
      </c>
      <c r="B363">
        <v>78.070400000000006</v>
      </c>
      <c r="C363">
        <v>20.741599999999998</v>
      </c>
      <c r="D363">
        <v>0.93920000000000003</v>
      </c>
      <c r="E363">
        <v>0.2248</v>
      </c>
      <c r="F363">
        <v>4.4999999999999997E-3</v>
      </c>
      <c r="G363">
        <v>1.95E-2</v>
      </c>
      <c r="H363">
        <v>711</v>
      </c>
      <c r="I363">
        <v>0.18060000000000001</v>
      </c>
      <c r="J363">
        <v>0.15890000000000001</v>
      </c>
      <c r="K363">
        <v>1.1365000000000001</v>
      </c>
      <c r="L363" s="26">
        <v>4.2199999999999999E-10</v>
      </c>
      <c r="M363" s="26">
        <v>8.2000000000000004E-14</v>
      </c>
      <c r="N363" s="26">
        <v>9.2899999999999997E-11</v>
      </c>
      <c r="O363" s="26">
        <v>7.81E-12</v>
      </c>
      <c r="P363" s="26">
        <v>1.7199999999999999E-14</v>
      </c>
      <c r="Q363" s="26">
        <v>1.5799999999999999E-12</v>
      </c>
    </row>
    <row r="364" spans="1:17" x14ac:dyDescent="0.3">
      <c r="A364" t="s">
        <v>408</v>
      </c>
      <c r="B364">
        <v>78.066400000000002</v>
      </c>
      <c r="C364">
        <v>20.748699999999999</v>
      </c>
      <c r="D364">
        <v>0.93889999999999996</v>
      </c>
      <c r="E364">
        <v>0.22409999999999999</v>
      </c>
      <c r="F364">
        <v>2.7000000000000001E-3</v>
      </c>
      <c r="G364">
        <v>1.9199999999999998E-2</v>
      </c>
      <c r="H364">
        <v>702</v>
      </c>
      <c r="I364">
        <v>0.17979999999999999</v>
      </c>
      <c r="J364">
        <v>0.15479999999999999</v>
      </c>
      <c r="K364">
        <v>1.1611</v>
      </c>
      <c r="L364" s="26">
        <v>4.2199999999999999E-10</v>
      </c>
      <c r="M364" s="26">
        <v>8.0999999999999996E-14</v>
      </c>
      <c r="N364" s="26">
        <v>9.2899999999999997E-11</v>
      </c>
      <c r="O364" s="26">
        <v>7.81E-12</v>
      </c>
      <c r="P364" s="26">
        <v>1.3100000000000001E-14</v>
      </c>
      <c r="Q364" s="26">
        <v>1.57E-12</v>
      </c>
    </row>
    <row r="365" spans="1:17" x14ac:dyDescent="0.3">
      <c r="A365" t="s">
        <v>409</v>
      </c>
      <c r="B365">
        <v>78.072900000000004</v>
      </c>
      <c r="C365">
        <v>20.742999999999999</v>
      </c>
      <c r="D365">
        <v>0.93899999999999995</v>
      </c>
      <c r="E365">
        <v>0.22320000000000001</v>
      </c>
      <c r="F365">
        <v>3.0000000000000001E-3</v>
      </c>
      <c r="G365">
        <v>1.89E-2</v>
      </c>
      <c r="H365">
        <v>702</v>
      </c>
      <c r="I365">
        <v>0.17849999999999999</v>
      </c>
      <c r="J365">
        <v>0.15679999999999999</v>
      </c>
      <c r="K365">
        <v>1.1388</v>
      </c>
      <c r="L365" s="26">
        <v>4.2199999999999999E-10</v>
      </c>
      <c r="M365" s="26">
        <v>7.9700000000000004E-14</v>
      </c>
      <c r="N365" s="26">
        <v>9.3000000000000002E-11</v>
      </c>
      <c r="O365" s="26">
        <v>7.81E-12</v>
      </c>
      <c r="P365" s="26">
        <v>1.3699999999999999E-14</v>
      </c>
      <c r="Q365" s="26">
        <v>1.57E-12</v>
      </c>
    </row>
    <row r="366" spans="1:17" x14ac:dyDescent="0.3">
      <c r="A366" t="s">
        <v>410</v>
      </c>
      <c r="B366">
        <v>78.070099999999996</v>
      </c>
      <c r="C366">
        <v>20.746099999999998</v>
      </c>
      <c r="D366">
        <v>0.93940000000000001</v>
      </c>
      <c r="E366">
        <v>0.22140000000000001</v>
      </c>
      <c r="F366">
        <v>3.3E-3</v>
      </c>
      <c r="G366">
        <v>1.9800000000000002E-2</v>
      </c>
      <c r="H366">
        <v>698</v>
      </c>
      <c r="I366">
        <v>0.17699999999999999</v>
      </c>
      <c r="J366">
        <v>0.16550000000000001</v>
      </c>
      <c r="K366">
        <v>1.07</v>
      </c>
      <c r="L366" s="26">
        <v>4.2199999999999999E-10</v>
      </c>
      <c r="M366" s="26">
        <v>8.3200000000000001E-14</v>
      </c>
      <c r="N366" s="26">
        <v>9.2899999999999997E-11</v>
      </c>
      <c r="O366" s="26">
        <v>7.81E-12</v>
      </c>
      <c r="P366" s="26">
        <v>1.4500000000000001E-14</v>
      </c>
      <c r="Q366" s="26">
        <v>1.56E-12</v>
      </c>
    </row>
    <row r="367" spans="1:17" x14ac:dyDescent="0.3">
      <c r="A367" t="s">
        <v>411</v>
      </c>
      <c r="B367">
        <v>78.073400000000007</v>
      </c>
      <c r="C367">
        <v>20.743200000000002</v>
      </c>
      <c r="D367">
        <v>0.93879999999999997</v>
      </c>
      <c r="E367">
        <v>0.2215</v>
      </c>
      <c r="F367">
        <v>3.3E-3</v>
      </c>
      <c r="G367">
        <v>1.9800000000000002E-2</v>
      </c>
      <c r="H367">
        <v>695</v>
      </c>
      <c r="I367">
        <v>0.17699999999999999</v>
      </c>
      <c r="J367">
        <v>0.1676</v>
      </c>
      <c r="K367">
        <v>1.0562</v>
      </c>
      <c r="L367" s="26">
        <v>4.2199999999999999E-10</v>
      </c>
      <c r="M367" s="26">
        <v>8.3200000000000001E-14</v>
      </c>
      <c r="N367" s="26">
        <v>9.3000000000000002E-11</v>
      </c>
      <c r="O367" s="26">
        <v>7.81E-12</v>
      </c>
      <c r="P367" s="26">
        <v>1.4500000000000001E-14</v>
      </c>
      <c r="Q367" s="26">
        <v>1.56E-12</v>
      </c>
    </row>
    <row r="368" spans="1:17" x14ac:dyDescent="0.3">
      <c r="A368" t="s">
        <v>412</v>
      </c>
      <c r="B368">
        <v>78.068200000000004</v>
      </c>
      <c r="C368">
        <v>20.749400000000001</v>
      </c>
      <c r="D368">
        <v>0.93899999999999995</v>
      </c>
      <c r="E368">
        <v>0.22159999999999999</v>
      </c>
      <c r="F368">
        <v>2.5999999999999999E-3</v>
      </c>
      <c r="G368">
        <v>1.9099999999999999E-2</v>
      </c>
      <c r="H368">
        <v>692</v>
      </c>
      <c r="I368">
        <v>0.1769</v>
      </c>
      <c r="J368">
        <v>0.16170000000000001</v>
      </c>
      <c r="K368">
        <v>1.0942000000000001</v>
      </c>
      <c r="L368" s="26">
        <v>4.2199999999999999E-10</v>
      </c>
      <c r="M368" s="26">
        <v>8.0699999999999999E-14</v>
      </c>
      <c r="N368" s="26">
        <v>9.3000000000000002E-11</v>
      </c>
      <c r="O368" s="26">
        <v>7.8200000000000002E-12</v>
      </c>
      <c r="P368" s="26">
        <v>1.2900000000000001E-14</v>
      </c>
      <c r="Q368" s="26">
        <v>1.56E-12</v>
      </c>
    </row>
    <row r="369" spans="1:17" x14ac:dyDescent="0.3">
      <c r="A369" t="s">
        <v>413</v>
      </c>
      <c r="B369">
        <v>78.073099999999997</v>
      </c>
      <c r="C369">
        <v>20.747299999999999</v>
      </c>
      <c r="D369">
        <v>0.93910000000000005</v>
      </c>
      <c r="E369">
        <v>0.21959999999999999</v>
      </c>
      <c r="F369">
        <v>1.8E-3</v>
      </c>
      <c r="G369">
        <v>1.9E-2</v>
      </c>
      <c r="H369">
        <v>709</v>
      </c>
      <c r="I369">
        <v>0.17469999999999999</v>
      </c>
      <c r="J369">
        <v>0.15740000000000001</v>
      </c>
      <c r="K369">
        <v>1.1102000000000001</v>
      </c>
      <c r="L369" s="26">
        <v>4.2199999999999999E-10</v>
      </c>
      <c r="M369" s="26">
        <v>8.0099999999999994E-14</v>
      </c>
      <c r="N369" s="26">
        <v>9.3000000000000002E-11</v>
      </c>
      <c r="O369" s="26">
        <v>7.8200000000000002E-12</v>
      </c>
      <c r="P369" s="26">
        <v>1.09E-14</v>
      </c>
      <c r="Q369" s="26">
        <v>1.5399999999999999E-12</v>
      </c>
    </row>
    <row r="370" spans="1:17" x14ac:dyDescent="0.3">
      <c r="A370" t="s">
        <v>414</v>
      </c>
      <c r="B370">
        <v>78.072400000000002</v>
      </c>
      <c r="C370">
        <v>20.747800000000002</v>
      </c>
      <c r="D370">
        <v>0.93889999999999996</v>
      </c>
      <c r="E370">
        <v>0.21840000000000001</v>
      </c>
      <c r="F370">
        <v>3.8E-3</v>
      </c>
      <c r="G370">
        <v>1.8700000000000001E-2</v>
      </c>
      <c r="H370">
        <v>705</v>
      </c>
      <c r="I370">
        <v>0.1739</v>
      </c>
      <c r="J370">
        <v>0.16109999999999999</v>
      </c>
      <c r="K370">
        <v>1.0792999999999999</v>
      </c>
      <c r="L370" s="26">
        <v>4.2199999999999999E-10</v>
      </c>
      <c r="M370" s="26">
        <v>7.9200000000000006E-14</v>
      </c>
      <c r="N370" s="26">
        <v>9.3000000000000002E-11</v>
      </c>
      <c r="O370" s="26">
        <v>7.81E-12</v>
      </c>
      <c r="P370" s="26">
        <v>1.5299999999999999E-14</v>
      </c>
      <c r="Q370" s="26">
        <v>1.5399999999999999E-12</v>
      </c>
    </row>
    <row r="371" spans="1:17" x14ac:dyDescent="0.3">
      <c r="A371" t="s">
        <v>415</v>
      </c>
      <c r="B371">
        <v>78.074700000000007</v>
      </c>
      <c r="C371">
        <v>20.747</v>
      </c>
      <c r="D371">
        <v>0.93899999999999995</v>
      </c>
      <c r="E371">
        <v>0.21759999999999999</v>
      </c>
      <c r="F371">
        <v>2.3999999999999998E-3</v>
      </c>
      <c r="G371">
        <v>1.9199999999999998E-2</v>
      </c>
      <c r="H371">
        <v>703</v>
      </c>
      <c r="I371">
        <v>0.17269999999999999</v>
      </c>
      <c r="J371">
        <v>0.16339999999999999</v>
      </c>
      <c r="K371">
        <v>1.0571999999999999</v>
      </c>
      <c r="L371" s="26">
        <v>4.2199999999999999E-10</v>
      </c>
      <c r="M371" s="26">
        <v>8.1199999999999997E-14</v>
      </c>
      <c r="N371" s="26">
        <v>9.3000000000000002E-11</v>
      </c>
      <c r="O371" s="26">
        <v>7.8200000000000002E-12</v>
      </c>
      <c r="P371" s="26">
        <v>1.24E-14</v>
      </c>
      <c r="Q371" s="26">
        <v>1.5299999999999999E-12</v>
      </c>
    </row>
    <row r="372" spans="1:17" x14ac:dyDescent="0.3">
      <c r="A372" t="s">
        <v>416</v>
      </c>
      <c r="B372">
        <v>78.075999999999993</v>
      </c>
      <c r="C372">
        <v>20.7455</v>
      </c>
      <c r="D372">
        <v>0.93879999999999997</v>
      </c>
      <c r="E372">
        <v>0.21779999999999999</v>
      </c>
      <c r="F372">
        <v>2.3E-3</v>
      </c>
      <c r="G372">
        <v>1.9699999999999999E-2</v>
      </c>
      <c r="H372">
        <v>694</v>
      </c>
      <c r="I372">
        <v>0.17299999999999999</v>
      </c>
      <c r="J372">
        <v>0.16569999999999999</v>
      </c>
      <c r="K372">
        <v>1.0443</v>
      </c>
      <c r="L372" s="26">
        <v>4.2199999999999999E-10</v>
      </c>
      <c r="M372" s="26">
        <v>8.2900000000000005E-14</v>
      </c>
      <c r="N372" s="26">
        <v>9.3000000000000002E-11</v>
      </c>
      <c r="O372" s="26">
        <v>7.81E-12</v>
      </c>
      <c r="P372" s="26">
        <v>1.23E-14</v>
      </c>
      <c r="Q372" s="26">
        <v>1.5299999999999999E-12</v>
      </c>
    </row>
    <row r="373" spans="1:17" x14ac:dyDescent="0.3">
      <c r="A373" t="s">
        <v>417</v>
      </c>
      <c r="B373">
        <v>78.076999999999998</v>
      </c>
      <c r="C373">
        <v>20.745899999999999</v>
      </c>
      <c r="D373">
        <v>0.93959999999999999</v>
      </c>
      <c r="E373">
        <v>0.2157</v>
      </c>
      <c r="F373">
        <v>2.8999999999999998E-3</v>
      </c>
      <c r="G373">
        <v>1.9E-2</v>
      </c>
      <c r="H373">
        <v>695</v>
      </c>
      <c r="I373">
        <v>0.17119999999999999</v>
      </c>
      <c r="J373">
        <v>0.16259999999999999</v>
      </c>
      <c r="K373">
        <v>1.0535000000000001</v>
      </c>
      <c r="L373" s="26">
        <v>4.2199999999999999E-10</v>
      </c>
      <c r="M373" s="26">
        <v>8.0099999999999994E-14</v>
      </c>
      <c r="N373" s="26">
        <v>9.3000000000000002E-11</v>
      </c>
      <c r="O373" s="26">
        <v>7.8200000000000002E-12</v>
      </c>
      <c r="P373" s="26">
        <v>1.3499999999999999E-14</v>
      </c>
      <c r="Q373" s="26">
        <v>1.52E-12</v>
      </c>
    </row>
    <row r="374" spans="1:17" x14ac:dyDescent="0.3">
      <c r="A374" t="s">
        <v>418</v>
      </c>
      <c r="B374">
        <v>78.073499999999996</v>
      </c>
      <c r="C374">
        <v>20.750399999999999</v>
      </c>
      <c r="D374">
        <v>0.93979999999999997</v>
      </c>
      <c r="E374">
        <v>0.21429999999999999</v>
      </c>
      <c r="F374">
        <v>3.5000000000000001E-3</v>
      </c>
      <c r="G374">
        <v>1.8499999999999999E-2</v>
      </c>
      <c r="H374">
        <v>688</v>
      </c>
      <c r="I374">
        <v>0.1701</v>
      </c>
      <c r="J374">
        <v>0.1603</v>
      </c>
      <c r="K374">
        <v>1.0615000000000001</v>
      </c>
      <c r="L374" s="26">
        <v>4.2199999999999999E-10</v>
      </c>
      <c r="M374" s="26">
        <v>7.8300000000000005E-14</v>
      </c>
      <c r="N374" s="26">
        <v>9.3000000000000002E-11</v>
      </c>
      <c r="O374" s="26">
        <v>7.8200000000000002E-12</v>
      </c>
      <c r="P374" s="26">
        <v>1.47E-14</v>
      </c>
      <c r="Q374" s="26">
        <v>1.51E-12</v>
      </c>
    </row>
    <row r="375" spans="1:17" x14ac:dyDescent="0.3">
      <c r="A375" t="s">
        <v>419</v>
      </c>
      <c r="B375">
        <v>78.0762</v>
      </c>
      <c r="C375">
        <v>20.749400000000001</v>
      </c>
      <c r="D375">
        <v>0.93879999999999997</v>
      </c>
      <c r="E375">
        <v>0.21390000000000001</v>
      </c>
      <c r="F375">
        <v>2.8999999999999998E-3</v>
      </c>
      <c r="G375">
        <v>1.8800000000000001E-2</v>
      </c>
      <c r="H375">
        <v>706</v>
      </c>
      <c r="I375">
        <v>0.1694</v>
      </c>
      <c r="J375">
        <v>0.15129999999999999</v>
      </c>
      <c r="K375">
        <v>1.1198999999999999</v>
      </c>
      <c r="L375" s="26">
        <v>4.2199999999999999E-10</v>
      </c>
      <c r="M375" s="26">
        <v>7.9500000000000002E-14</v>
      </c>
      <c r="N375" s="26">
        <v>9.3000000000000002E-11</v>
      </c>
      <c r="O375" s="26">
        <v>7.81E-12</v>
      </c>
      <c r="P375" s="26">
        <v>1.3499999999999999E-14</v>
      </c>
      <c r="Q375" s="26">
        <v>1.5000000000000001E-12</v>
      </c>
    </row>
    <row r="376" spans="1:17" x14ac:dyDescent="0.3">
      <c r="A376" t="s">
        <v>420</v>
      </c>
      <c r="B376">
        <v>78.077200000000005</v>
      </c>
      <c r="C376">
        <v>20.7486</v>
      </c>
      <c r="D376">
        <v>0.93879999999999997</v>
      </c>
      <c r="E376">
        <v>0.2147</v>
      </c>
      <c r="F376">
        <v>1.8E-3</v>
      </c>
      <c r="G376">
        <v>1.9099999999999999E-2</v>
      </c>
      <c r="H376">
        <v>702</v>
      </c>
      <c r="I376">
        <v>0.1696</v>
      </c>
      <c r="J376">
        <v>0.16450000000000001</v>
      </c>
      <c r="K376">
        <v>1.0308999999999999</v>
      </c>
      <c r="L376" s="26">
        <v>4.2199999999999999E-10</v>
      </c>
      <c r="M376" s="26">
        <v>8.0400000000000003E-14</v>
      </c>
      <c r="N376" s="26">
        <v>9.3000000000000002E-11</v>
      </c>
      <c r="O376" s="26">
        <v>7.81E-12</v>
      </c>
      <c r="P376" s="26">
        <v>1.1E-14</v>
      </c>
      <c r="Q376" s="26">
        <v>1.5000000000000001E-12</v>
      </c>
    </row>
    <row r="377" spans="1:17" x14ac:dyDescent="0.3">
      <c r="A377" t="s">
        <v>421</v>
      </c>
      <c r="B377">
        <v>78.074100000000001</v>
      </c>
      <c r="C377">
        <v>20.753299999999999</v>
      </c>
      <c r="D377">
        <v>0.93879999999999997</v>
      </c>
      <c r="E377">
        <v>0.21240000000000001</v>
      </c>
      <c r="F377">
        <v>2.2000000000000001E-3</v>
      </c>
      <c r="G377">
        <v>1.9199999999999998E-2</v>
      </c>
      <c r="H377">
        <v>702</v>
      </c>
      <c r="I377">
        <v>0.16800000000000001</v>
      </c>
      <c r="J377">
        <v>0.15720000000000001</v>
      </c>
      <c r="K377">
        <v>1.0691999999999999</v>
      </c>
      <c r="L377" s="26">
        <v>4.2199999999999999E-10</v>
      </c>
      <c r="M377" s="26">
        <v>8.1199999999999997E-14</v>
      </c>
      <c r="N377" s="26">
        <v>9.3000000000000002E-11</v>
      </c>
      <c r="O377" s="26">
        <v>7.81E-12</v>
      </c>
      <c r="P377" s="26">
        <v>1.19E-14</v>
      </c>
      <c r="Q377" s="26">
        <v>1.4899999999999999E-12</v>
      </c>
    </row>
    <row r="378" spans="1:17" x14ac:dyDescent="0.3">
      <c r="A378" t="s">
        <v>422</v>
      </c>
      <c r="B378">
        <v>78.076499999999996</v>
      </c>
      <c r="C378">
        <v>20.7499</v>
      </c>
      <c r="D378">
        <v>0.9395</v>
      </c>
      <c r="E378">
        <v>0.21160000000000001</v>
      </c>
      <c r="F378">
        <v>3.3999999999999998E-3</v>
      </c>
      <c r="G378">
        <v>1.9099999999999999E-2</v>
      </c>
      <c r="H378">
        <v>694</v>
      </c>
      <c r="I378">
        <v>0.16669999999999999</v>
      </c>
      <c r="J378">
        <v>0.16139999999999999</v>
      </c>
      <c r="K378">
        <v>1.0327</v>
      </c>
      <c r="L378" s="26">
        <v>4.2199999999999999E-10</v>
      </c>
      <c r="M378" s="26">
        <v>8.0499999999999998E-14</v>
      </c>
      <c r="N378" s="26">
        <v>9.3000000000000002E-11</v>
      </c>
      <c r="O378" s="26">
        <v>7.8200000000000002E-12</v>
      </c>
      <c r="P378" s="26">
        <v>1.4500000000000001E-14</v>
      </c>
      <c r="Q378" s="26">
        <v>1.4899999999999999E-12</v>
      </c>
    </row>
    <row r="379" spans="1:17" x14ac:dyDescent="0.3">
      <c r="A379" t="s">
        <v>423</v>
      </c>
      <c r="B379">
        <v>78.078699999999998</v>
      </c>
      <c r="C379">
        <v>20.7499</v>
      </c>
      <c r="D379">
        <v>0.93889999999999996</v>
      </c>
      <c r="E379">
        <v>0.21029999999999999</v>
      </c>
      <c r="F379">
        <v>3.0999999999999999E-3</v>
      </c>
      <c r="G379">
        <v>1.9199999999999998E-2</v>
      </c>
      <c r="H379">
        <v>690</v>
      </c>
      <c r="I379">
        <v>0.1661</v>
      </c>
      <c r="J379">
        <v>0.16600000000000001</v>
      </c>
      <c r="K379">
        <v>1.0002</v>
      </c>
      <c r="L379" s="26">
        <v>4.2199999999999999E-10</v>
      </c>
      <c r="M379" s="26">
        <v>8.0999999999999996E-14</v>
      </c>
      <c r="N379" s="26">
        <v>9.3000000000000002E-11</v>
      </c>
      <c r="O379" s="26">
        <v>7.81E-12</v>
      </c>
      <c r="P379" s="26">
        <v>1.3899999999999999E-14</v>
      </c>
      <c r="Q379" s="26">
        <v>1.48E-12</v>
      </c>
    </row>
    <row r="380" spans="1:17" x14ac:dyDescent="0.3">
      <c r="A380" t="s">
        <v>424</v>
      </c>
      <c r="B380">
        <v>78.071399999999997</v>
      </c>
      <c r="C380">
        <v>20.756699999999999</v>
      </c>
      <c r="D380">
        <v>0.93959999999999999</v>
      </c>
      <c r="E380">
        <v>0.2097</v>
      </c>
      <c r="F380">
        <v>3.3E-3</v>
      </c>
      <c r="G380">
        <v>1.9199999999999998E-2</v>
      </c>
      <c r="H380">
        <v>687</v>
      </c>
      <c r="I380">
        <v>0.16439999999999999</v>
      </c>
      <c r="J380">
        <v>0.156</v>
      </c>
      <c r="K380">
        <v>1.0537000000000001</v>
      </c>
      <c r="L380" s="26">
        <v>4.2199999999999999E-10</v>
      </c>
      <c r="M380" s="26">
        <v>8.0999999999999996E-14</v>
      </c>
      <c r="N380" s="26">
        <v>9.3099999999999994E-11</v>
      </c>
      <c r="O380" s="26">
        <v>7.8200000000000002E-12</v>
      </c>
      <c r="P380" s="26">
        <v>1.44E-14</v>
      </c>
      <c r="Q380" s="26">
        <v>1.48E-12</v>
      </c>
    </row>
    <row r="381" spans="1:17" x14ac:dyDescent="0.3">
      <c r="A381" t="s">
        <v>425</v>
      </c>
      <c r="B381">
        <v>78.079599999999999</v>
      </c>
      <c r="C381">
        <v>20.750399999999999</v>
      </c>
      <c r="D381">
        <v>0.93899999999999995</v>
      </c>
      <c r="E381">
        <v>0.2097</v>
      </c>
      <c r="F381">
        <v>2.3999999999999998E-3</v>
      </c>
      <c r="G381">
        <v>1.89E-2</v>
      </c>
      <c r="H381">
        <v>741</v>
      </c>
      <c r="I381">
        <v>0.16450000000000001</v>
      </c>
      <c r="J381">
        <v>0.15210000000000001</v>
      </c>
      <c r="K381">
        <v>1.0815999999999999</v>
      </c>
      <c r="L381" s="26">
        <v>4.2199999999999999E-10</v>
      </c>
      <c r="M381" s="26">
        <v>7.9799999999999998E-14</v>
      </c>
      <c r="N381" s="26">
        <v>9.3000000000000002E-11</v>
      </c>
      <c r="O381" s="26">
        <v>7.81E-12</v>
      </c>
      <c r="P381" s="26">
        <v>1.24E-14</v>
      </c>
      <c r="Q381" s="26">
        <v>1.47E-12</v>
      </c>
    </row>
    <row r="382" spans="1:17" x14ac:dyDescent="0.3">
      <c r="A382" t="s">
        <v>426</v>
      </c>
      <c r="B382">
        <v>78.072999999999993</v>
      </c>
      <c r="C382">
        <v>20.757300000000001</v>
      </c>
      <c r="D382">
        <v>0.93910000000000005</v>
      </c>
      <c r="E382">
        <v>0.2089</v>
      </c>
      <c r="F382">
        <v>3.0000000000000001E-3</v>
      </c>
      <c r="G382">
        <v>1.8700000000000001E-2</v>
      </c>
      <c r="H382">
        <v>690</v>
      </c>
      <c r="I382">
        <v>0.16450000000000001</v>
      </c>
      <c r="J382">
        <v>0.1525</v>
      </c>
      <c r="K382">
        <v>1.0786</v>
      </c>
      <c r="L382" s="26">
        <v>4.2199999999999999E-10</v>
      </c>
      <c r="M382" s="26">
        <v>7.8899999999999997E-14</v>
      </c>
      <c r="N382" s="26">
        <v>9.3000000000000002E-11</v>
      </c>
      <c r="O382" s="26">
        <v>7.81E-12</v>
      </c>
      <c r="P382" s="26">
        <v>1.3499999999999999E-14</v>
      </c>
      <c r="Q382" s="26">
        <v>1.47E-12</v>
      </c>
    </row>
    <row r="383" spans="1:17" x14ac:dyDescent="0.3">
      <c r="A383" t="s">
        <v>427</v>
      </c>
      <c r="B383">
        <v>78.075999999999993</v>
      </c>
      <c r="C383">
        <v>20.754100000000001</v>
      </c>
      <c r="D383">
        <v>0.93920000000000003</v>
      </c>
      <c r="E383">
        <v>0.20810000000000001</v>
      </c>
      <c r="F383">
        <v>3.8E-3</v>
      </c>
      <c r="G383">
        <v>1.89E-2</v>
      </c>
      <c r="H383">
        <v>735</v>
      </c>
      <c r="I383">
        <v>0.1636</v>
      </c>
      <c r="J383">
        <v>0.1517</v>
      </c>
      <c r="K383">
        <v>1.0787</v>
      </c>
      <c r="L383" s="26">
        <v>4.2399999999999998E-10</v>
      </c>
      <c r="M383" s="26">
        <v>8.0200000000000002E-14</v>
      </c>
      <c r="N383" s="26">
        <v>9.3399999999999995E-11</v>
      </c>
      <c r="O383" s="26">
        <v>7.8500000000000007E-12</v>
      </c>
      <c r="P383" s="26">
        <v>1.5399999999999999E-14</v>
      </c>
      <c r="Q383" s="26">
        <v>1.47E-12</v>
      </c>
    </row>
    <row r="384" spans="1:17" x14ac:dyDescent="0.3">
      <c r="A384" t="s">
        <v>428</v>
      </c>
      <c r="B384">
        <v>78.077299999999994</v>
      </c>
      <c r="C384">
        <v>20.754000000000001</v>
      </c>
      <c r="D384">
        <v>0.93869999999999998</v>
      </c>
      <c r="E384">
        <v>0.20749999999999999</v>
      </c>
      <c r="F384">
        <v>3.3999999999999998E-3</v>
      </c>
      <c r="G384">
        <v>1.9099999999999999E-2</v>
      </c>
      <c r="H384">
        <v>686</v>
      </c>
      <c r="I384">
        <v>0.16289999999999999</v>
      </c>
      <c r="J384">
        <v>0.15659999999999999</v>
      </c>
      <c r="K384">
        <v>1.0403</v>
      </c>
      <c r="L384" s="26">
        <v>4.2199999999999999E-10</v>
      </c>
      <c r="M384" s="26">
        <v>8.0400000000000003E-14</v>
      </c>
      <c r="N384" s="26">
        <v>9.2899999999999997E-11</v>
      </c>
      <c r="O384" s="26">
        <v>7.7999999999999999E-12</v>
      </c>
      <c r="P384" s="26">
        <v>1.4599999999999999E-14</v>
      </c>
      <c r="Q384" s="26">
        <v>1.46E-12</v>
      </c>
    </row>
    <row r="385" spans="1:17" x14ac:dyDescent="0.3">
      <c r="A385" t="s">
        <v>429</v>
      </c>
      <c r="B385">
        <v>78.076599999999999</v>
      </c>
      <c r="C385">
        <v>20.755099999999999</v>
      </c>
      <c r="D385">
        <v>0.93920000000000003</v>
      </c>
      <c r="E385">
        <v>0.2072</v>
      </c>
      <c r="F385">
        <v>3.2000000000000002E-3</v>
      </c>
      <c r="G385">
        <v>1.8700000000000001E-2</v>
      </c>
      <c r="H385">
        <v>704</v>
      </c>
      <c r="I385">
        <v>0.16239999999999999</v>
      </c>
      <c r="J385">
        <v>0.15010000000000001</v>
      </c>
      <c r="K385">
        <v>1.0819000000000001</v>
      </c>
      <c r="L385" s="26">
        <v>4.2199999999999999E-10</v>
      </c>
      <c r="M385" s="26">
        <v>7.8800000000000002E-14</v>
      </c>
      <c r="N385" s="26">
        <v>9.3000000000000002E-11</v>
      </c>
      <c r="O385" s="26">
        <v>7.81E-12</v>
      </c>
      <c r="P385" s="26">
        <v>1.3899999999999999E-14</v>
      </c>
      <c r="Q385" s="26">
        <v>1.46E-12</v>
      </c>
    </row>
    <row r="386" spans="1:17" x14ac:dyDescent="0.3">
      <c r="A386" t="s">
        <v>430</v>
      </c>
      <c r="B386">
        <v>78.082899999999995</v>
      </c>
      <c r="C386">
        <v>20.748999999999999</v>
      </c>
      <c r="D386">
        <v>0.93889999999999996</v>
      </c>
      <c r="E386">
        <v>0.20810000000000001</v>
      </c>
      <c r="F386">
        <v>2.2000000000000001E-3</v>
      </c>
      <c r="G386">
        <v>1.89E-2</v>
      </c>
      <c r="H386">
        <v>691</v>
      </c>
      <c r="I386">
        <v>0.16250000000000001</v>
      </c>
      <c r="J386">
        <v>0.15770000000000001</v>
      </c>
      <c r="K386">
        <v>1.0307999999999999</v>
      </c>
      <c r="L386" s="26">
        <v>4.2199999999999999E-10</v>
      </c>
      <c r="M386" s="26">
        <v>7.9900000000000005E-14</v>
      </c>
      <c r="N386" s="26">
        <v>9.2899999999999997E-11</v>
      </c>
      <c r="O386" s="26">
        <v>7.81E-12</v>
      </c>
      <c r="P386" s="26">
        <v>1.19E-14</v>
      </c>
      <c r="Q386" s="26">
        <v>1.46E-12</v>
      </c>
    </row>
    <row r="387" spans="1:17" x14ac:dyDescent="0.3">
      <c r="A387" t="s">
        <v>431</v>
      </c>
      <c r="B387">
        <v>78.073899999999995</v>
      </c>
      <c r="C387">
        <v>20.756399999999999</v>
      </c>
      <c r="D387">
        <v>0.93959999999999999</v>
      </c>
      <c r="E387">
        <v>0.20649999999999999</v>
      </c>
      <c r="F387">
        <v>4.1000000000000003E-3</v>
      </c>
      <c r="G387">
        <v>1.9300000000000001E-2</v>
      </c>
      <c r="H387">
        <v>688</v>
      </c>
      <c r="I387">
        <v>0.16159999999999999</v>
      </c>
      <c r="J387">
        <v>0.15390000000000001</v>
      </c>
      <c r="K387">
        <v>1.0497000000000001</v>
      </c>
      <c r="L387" s="26">
        <v>4.2199999999999999E-10</v>
      </c>
      <c r="M387" s="26">
        <v>8.1500000000000006E-14</v>
      </c>
      <c r="N387" s="26">
        <v>9.3000000000000002E-11</v>
      </c>
      <c r="O387" s="26">
        <v>7.81E-12</v>
      </c>
      <c r="P387" s="26">
        <v>1.6300000000000001E-14</v>
      </c>
      <c r="Q387" s="26">
        <v>1.46E-12</v>
      </c>
    </row>
    <row r="388" spans="1:17" x14ac:dyDescent="0.3">
      <c r="A388" t="s">
        <v>432</v>
      </c>
      <c r="B388">
        <v>78.075100000000006</v>
      </c>
      <c r="C388">
        <v>20.757999999999999</v>
      </c>
      <c r="D388">
        <v>0.93910000000000005</v>
      </c>
      <c r="E388">
        <v>0.20699999999999999</v>
      </c>
      <c r="F388">
        <v>2.3E-3</v>
      </c>
      <c r="G388">
        <v>1.8499999999999999E-2</v>
      </c>
      <c r="H388">
        <v>686</v>
      </c>
      <c r="I388">
        <v>0.16209999999999999</v>
      </c>
      <c r="J388">
        <v>0.1482</v>
      </c>
      <c r="K388">
        <v>1.0935999999999999</v>
      </c>
      <c r="L388" s="26">
        <v>4.2199999999999999E-10</v>
      </c>
      <c r="M388" s="26">
        <v>7.7999999999999996E-14</v>
      </c>
      <c r="N388" s="26">
        <v>9.3000000000000002E-11</v>
      </c>
      <c r="O388" s="26">
        <v>7.81E-12</v>
      </c>
      <c r="P388" s="26">
        <v>1.1999999999999999E-14</v>
      </c>
      <c r="Q388" s="26">
        <v>1.4500000000000001E-12</v>
      </c>
    </row>
    <row r="389" spans="1:17" x14ac:dyDescent="0.3">
      <c r="A389" t="s">
        <v>433</v>
      </c>
      <c r="B389">
        <v>78.079899999999995</v>
      </c>
      <c r="C389">
        <v>20.7531</v>
      </c>
      <c r="D389">
        <v>0.93889999999999996</v>
      </c>
      <c r="E389">
        <v>0.2059</v>
      </c>
      <c r="F389">
        <v>2.8999999999999998E-3</v>
      </c>
      <c r="G389">
        <v>1.9199999999999998E-2</v>
      </c>
      <c r="H389">
        <v>695</v>
      </c>
      <c r="I389">
        <v>0.16089999999999999</v>
      </c>
      <c r="J389">
        <v>0.154</v>
      </c>
      <c r="K389">
        <v>1.0448</v>
      </c>
      <c r="L389" s="26">
        <v>4.2199999999999999E-10</v>
      </c>
      <c r="M389" s="26">
        <v>8.0799999999999994E-14</v>
      </c>
      <c r="N389" s="26">
        <v>9.3000000000000002E-11</v>
      </c>
      <c r="O389" s="26">
        <v>7.81E-12</v>
      </c>
      <c r="P389" s="26">
        <v>1.36E-14</v>
      </c>
      <c r="Q389" s="26">
        <v>1.4500000000000001E-12</v>
      </c>
    </row>
    <row r="390" spans="1:17" x14ac:dyDescent="0.3">
      <c r="A390" t="s">
        <v>434</v>
      </c>
      <c r="B390">
        <v>78.079499999999996</v>
      </c>
      <c r="C390">
        <v>20.755199999999999</v>
      </c>
      <c r="D390">
        <v>0.93910000000000005</v>
      </c>
      <c r="E390">
        <v>0.2046</v>
      </c>
      <c r="F390">
        <v>2.8E-3</v>
      </c>
      <c r="G390">
        <v>1.8800000000000001E-2</v>
      </c>
      <c r="H390">
        <v>701</v>
      </c>
      <c r="I390">
        <v>0.15959999999999999</v>
      </c>
      <c r="J390">
        <v>0.1515</v>
      </c>
      <c r="K390">
        <v>1.0529999999999999</v>
      </c>
      <c r="L390" s="26">
        <v>4.2199999999999999E-10</v>
      </c>
      <c r="M390" s="26">
        <v>7.93E-14</v>
      </c>
      <c r="N390" s="26">
        <v>9.3000000000000002E-11</v>
      </c>
      <c r="O390" s="26">
        <v>7.81E-12</v>
      </c>
      <c r="P390" s="26">
        <v>1.32E-14</v>
      </c>
      <c r="Q390" s="26">
        <v>1.4399999999999999E-12</v>
      </c>
    </row>
    <row r="391" spans="1:17" x14ac:dyDescent="0.3">
      <c r="A391" t="s">
        <v>435</v>
      </c>
      <c r="B391">
        <v>78.163499999999999</v>
      </c>
      <c r="C391">
        <v>20.6737</v>
      </c>
      <c r="D391">
        <v>0.9345</v>
      </c>
      <c r="E391">
        <v>0.20519999999999999</v>
      </c>
      <c r="F391">
        <v>3.7000000000000002E-3</v>
      </c>
      <c r="G391">
        <v>1.9400000000000001E-2</v>
      </c>
      <c r="H391">
        <v>632</v>
      </c>
      <c r="I391">
        <v>0.1598</v>
      </c>
      <c r="J391">
        <v>0.26079999999999998</v>
      </c>
      <c r="K391">
        <v>0.61270000000000002</v>
      </c>
      <c r="L391" s="26">
        <v>4.18E-10</v>
      </c>
      <c r="M391" s="26">
        <v>8.0699999999999999E-14</v>
      </c>
      <c r="N391" s="26">
        <v>9.1700000000000004E-11</v>
      </c>
      <c r="O391" s="26">
        <v>7.6999999999999999E-12</v>
      </c>
      <c r="P391" s="26">
        <v>1.5200000000000001E-14</v>
      </c>
      <c r="Q391" s="26">
        <v>1.43E-12</v>
      </c>
    </row>
    <row r="392" spans="1:17" x14ac:dyDescent="0.3">
      <c r="A392" t="s">
        <v>436</v>
      </c>
      <c r="B392">
        <v>78.077799999999996</v>
      </c>
      <c r="C392">
        <v>20.7561</v>
      </c>
      <c r="D392">
        <v>0.9395</v>
      </c>
      <c r="E392">
        <v>0.2041</v>
      </c>
      <c r="F392">
        <v>3.2000000000000002E-3</v>
      </c>
      <c r="G392">
        <v>1.9300000000000001E-2</v>
      </c>
      <c r="H392">
        <v>688</v>
      </c>
      <c r="I392">
        <v>0.15870000000000001</v>
      </c>
      <c r="J392">
        <v>0.1537</v>
      </c>
      <c r="K392">
        <v>1.0323</v>
      </c>
      <c r="L392" s="26">
        <v>4.2199999999999999E-10</v>
      </c>
      <c r="M392" s="26">
        <v>8.1399999999999999E-14</v>
      </c>
      <c r="N392" s="26">
        <v>9.3000000000000002E-11</v>
      </c>
      <c r="O392" s="26">
        <v>7.8200000000000002E-12</v>
      </c>
      <c r="P392" s="26">
        <v>1.42E-14</v>
      </c>
      <c r="Q392" s="26">
        <v>1.4399999999999999E-12</v>
      </c>
    </row>
    <row r="393" spans="1:17" x14ac:dyDescent="0.3">
      <c r="A393" t="s">
        <v>437</v>
      </c>
      <c r="B393">
        <v>78.073899999999995</v>
      </c>
      <c r="C393">
        <v>20.7622</v>
      </c>
      <c r="D393">
        <v>0.93930000000000002</v>
      </c>
      <c r="E393">
        <v>0.20280000000000001</v>
      </c>
      <c r="F393">
        <v>2.7000000000000001E-3</v>
      </c>
      <c r="G393">
        <v>1.9E-2</v>
      </c>
      <c r="H393">
        <v>686</v>
      </c>
      <c r="I393">
        <v>0.15790000000000001</v>
      </c>
      <c r="J393">
        <v>0.14419999999999999</v>
      </c>
      <c r="K393">
        <v>1.0947</v>
      </c>
      <c r="L393" s="26">
        <v>4.2199999999999999E-10</v>
      </c>
      <c r="M393" s="26">
        <v>8.0400000000000003E-14</v>
      </c>
      <c r="N393" s="26">
        <v>9.3099999999999994E-11</v>
      </c>
      <c r="O393" s="26">
        <v>7.8200000000000002E-12</v>
      </c>
      <c r="P393" s="26">
        <v>1.3100000000000001E-14</v>
      </c>
      <c r="Q393" s="26">
        <v>1.43E-12</v>
      </c>
    </row>
    <row r="394" spans="1:17" x14ac:dyDescent="0.3">
      <c r="A394" t="s">
        <v>438</v>
      </c>
      <c r="B394">
        <v>92.316199999999995</v>
      </c>
      <c r="C394">
        <v>2.8077999999999999</v>
      </c>
      <c r="D394">
        <v>0.14399999999999999</v>
      </c>
      <c r="E394">
        <v>4.6772</v>
      </c>
      <c r="F394">
        <v>1.0500000000000001E-2</v>
      </c>
      <c r="G394">
        <v>4.4299999999999999E-2</v>
      </c>
      <c r="H394">
        <v>0</v>
      </c>
      <c r="I394">
        <v>3.9116</v>
      </c>
      <c r="J394">
        <v>18.539300000000001</v>
      </c>
      <c r="K394">
        <v>0.21099999999999999</v>
      </c>
      <c r="L394" s="26">
        <v>4.7600000000000001E-10</v>
      </c>
      <c r="M394" s="26">
        <v>1.6400000000000001E-13</v>
      </c>
      <c r="N394" s="26">
        <v>1.2000000000000001E-11</v>
      </c>
      <c r="O394" s="26">
        <v>1.14E-12</v>
      </c>
      <c r="P394" s="26">
        <v>3.92E-14</v>
      </c>
      <c r="Q394" s="26">
        <v>3.0899999999999998E-11</v>
      </c>
    </row>
    <row r="395" spans="1:17" x14ac:dyDescent="0.3">
      <c r="A395" t="s">
        <v>439</v>
      </c>
      <c r="B395">
        <v>94.617699999999999</v>
      </c>
      <c r="C395">
        <v>0.16439999999999999</v>
      </c>
      <c r="D395">
        <v>3.8300000000000001E-2</v>
      </c>
      <c r="E395">
        <v>5.1170999999999998</v>
      </c>
      <c r="F395">
        <v>1.09E-2</v>
      </c>
      <c r="G395">
        <v>5.16E-2</v>
      </c>
      <c r="H395">
        <v>0</v>
      </c>
      <c r="I395">
        <v>-0.80979999999999996</v>
      </c>
      <c r="J395">
        <v>0.60450000000000004</v>
      </c>
      <c r="K395">
        <v>-1.3395999999999999</v>
      </c>
      <c r="L395" s="26">
        <v>4.8999999999999996E-10</v>
      </c>
      <c r="M395" s="26">
        <v>1.9099999999999999E-13</v>
      </c>
      <c r="N395" s="26">
        <v>7.5500000000000001E-13</v>
      </c>
      <c r="O395" s="26">
        <v>3.09E-13</v>
      </c>
      <c r="P395" s="26">
        <v>4.2600000000000003E-14</v>
      </c>
      <c r="Q395" s="26">
        <v>3.3900000000000001E-11</v>
      </c>
    </row>
    <row r="396" spans="1:17" x14ac:dyDescent="0.3">
      <c r="A396" t="s">
        <v>440</v>
      </c>
      <c r="B396">
        <v>94.615099999999998</v>
      </c>
      <c r="C396">
        <v>0.1041</v>
      </c>
      <c r="D396">
        <v>3.5499999999999997E-2</v>
      </c>
      <c r="E396">
        <v>5.1817000000000002</v>
      </c>
      <c r="F396">
        <v>1.0699999999999999E-2</v>
      </c>
      <c r="G396">
        <v>5.2900000000000003E-2</v>
      </c>
      <c r="H396">
        <v>0</v>
      </c>
      <c r="I396">
        <v>-0.91959999999999997</v>
      </c>
      <c r="J396">
        <v>3.6600000000000001E-2</v>
      </c>
      <c r="K396">
        <v>-25.145499999999998</v>
      </c>
      <c r="L396" s="26">
        <v>4.8999999999999996E-10</v>
      </c>
      <c r="M396" s="26">
        <v>1.96E-13</v>
      </c>
      <c r="N396" s="26">
        <v>4.98E-13</v>
      </c>
      <c r="O396" s="26">
        <v>2.8599999999999999E-13</v>
      </c>
      <c r="P396" s="26">
        <v>4.2799999999999998E-14</v>
      </c>
      <c r="Q396" s="26">
        <v>3.43E-11</v>
      </c>
    </row>
    <row r="397" spans="1:17" x14ac:dyDescent="0.3">
      <c r="A397" t="s">
        <v>441</v>
      </c>
      <c r="B397">
        <v>95.1584</v>
      </c>
      <c r="C397">
        <v>9.3100000000000002E-2</v>
      </c>
      <c r="D397">
        <v>3.49E-2</v>
      </c>
      <c r="E397">
        <v>4.6496000000000004</v>
      </c>
      <c r="F397">
        <v>1.2E-2</v>
      </c>
      <c r="G397">
        <v>5.21E-2</v>
      </c>
      <c r="H397">
        <v>0</v>
      </c>
      <c r="I397">
        <v>-1.5011000000000001</v>
      </c>
      <c r="J397">
        <v>1.09E-2</v>
      </c>
      <c r="K397">
        <v>-137.62719999999999</v>
      </c>
      <c r="L397" s="26">
        <v>4.9299999999999995E-10</v>
      </c>
      <c r="M397" s="26">
        <v>1.9300000000000001E-13</v>
      </c>
      <c r="N397" s="26">
        <v>4.51E-13</v>
      </c>
      <c r="O397" s="26">
        <v>2.8200000000000001E-13</v>
      </c>
      <c r="P397" s="26">
        <v>4.4900000000000003E-14</v>
      </c>
      <c r="Q397" s="26">
        <v>3.0899999999999998E-11</v>
      </c>
    </row>
    <row r="398" spans="1:17" x14ac:dyDescent="0.3">
      <c r="A398" t="s">
        <v>442</v>
      </c>
      <c r="B398">
        <v>95.087900000000005</v>
      </c>
      <c r="C398">
        <v>8.6199999999999999E-2</v>
      </c>
      <c r="D398">
        <v>3.4500000000000003E-2</v>
      </c>
      <c r="E398">
        <v>4.7275</v>
      </c>
      <c r="F398">
        <v>1.1599999999999999E-2</v>
      </c>
      <c r="G398">
        <v>5.2400000000000002E-2</v>
      </c>
      <c r="H398">
        <v>0</v>
      </c>
      <c r="I398">
        <v>-1.4046000000000001</v>
      </c>
      <c r="J398">
        <v>5.1614E-3</v>
      </c>
      <c r="K398">
        <v>-272.13619999999997</v>
      </c>
      <c r="L398" s="26">
        <v>4.9299999999999995E-10</v>
      </c>
      <c r="M398" s="26">
        <v>1.9400000000000001E-13</v>
      </c>
      <c r="N398" s="26">
        <v>4.2200000000000002E-13</v>
      </c>
      <c r="O398" s="26">
        <v>2.7900000000000002E-13</v>
      </c>
      <c r="P398" s="26">
        <v>4.4199999999999997E-14</v>
      </c>
      <c r="Q398" s="26">
        <v>3.1400000000000003E-11</v>
      </c>
    </row>
    <row r="399" spans="1:17" x14ac:dyDescent="0.3">
      <c r="A399" t="s">
        <v>443</v>
      </c>
      <c r="B399">
        <v>95.051000000000002</v>
      </c>
      <c r="C399">
        <v>8.3199999999999996E-2</v>
      </c>
      <c r="D399">
        <v>3.4700000000000002E-2</v>
      </c>
      <c r="E399">
        <v>4.7662000000000004</v>
      </c>
      <c r="F399">
        <v>1.1599999999999999E-2</v>
      </c>
      <c r="G399">
        <v>5.33E-2</v>
      </c>
      <c r="H399">
        <v>0</v>
      </c>
      <c r="I399">
        <v>-1.3720000000000001</v>
      </c>
      <c r="J399">
        <v>2.4223000000000001E-3</v>
      </c>
      <c r="K399">
        <v>-566.38829999999996</v>
      </c>
      <c r="L399" s="26">
        <v>4.9199999999999996E-10</v>
      </c>
      <c r="M399" s="26">
        <v>1.9699999999999999E-13</v>
      </c>
      <c r="N399" s="26">
        <v>4.0799999999999998E-13</v>
      </c>
      <c r="O399" s="26">
        <v>2.8100000000000001E-13</v>
      </c>
      <c r="P399" s="26">
        <v>4.45E-14</v>
      </c>
      <c r="Q399" s="26">
        <v>3.1599999999999999E-11</v>
      </c>
    </row>
    <row r="400" spans="1:17" x14ac:dyDescent="0.3">
      <c r="A400" t="s">
        <v>444</v>
      </c>
      <c r="B400">
        <v>94.993700000000004</v>
      </c>
      <c r="C400">
        <v>8.2199999999999995E-2</v>
      </c>
      <c r="D400">
        <v>3.4099999999999998E-2</v>
      </c>
      <c r="E400">
        <v>4.8231999999999999</v>
      </c>
      <c r="F400">
        <v>1.2200000000000001E-2</v>
      </c>
      <c r="G400">
        <v>5.4699999999999999E-2</v>
      </c>
      <c r="H400">
        <v>0</v>
      </c>
      <c r="I400">
        <v>-1.4560999999999999</v>
      </c>
      <c r="J400">
        <v>3.0593E-3</v>
      </c>
      <c r="K400">
        <v>-475.94760000000002</v>
      </c>
      <c r="L400" s="26">
        <v>4.9199999999999996E-10</v>
      </c>
      <c r="M400" s="26">
        <v>2.0299999999999999E-13</v>
      </c>
      <c r="N400" s="26">
        <v>4.04E-13</v>
      </c>
      <c r="O400" s="26">
        <v>2.7599999999999999E-13</v>
      </c>
      <c r="P400" s="26">
        <v>4.61E-14</v>
      </c>
      <c r="Q400" s="26">
        <v>3.1999999999999999E-11</v>
      </c>
    </row>
    <row r="401" spans="1:17" x14ac:dyDescent="0.3">
      <c r="A401" t="s">
        <v>445</v>
      </c>
      <c r="B401">
        <v>94.919700000000006</v>
      </c>
      <c r="C401">
        <v>8.14E-2</v>
      </c>
      <c r="D401">
        <v>3.4299999999999997E-2</v>
      </c>
      <c r="E401">
        <v>4.8967000000000001</v>
      </c>
      <c r="F401">
        <v>1.2699999999999999E-2</v>
      </c>
      <c r="G401">
        <v>5.5199999999999999E-2</v>
      </c>
      <c r="H401">
        <v>0</v>
      </c>
      <c r="I401">
        <v>-1.4781</v>
      </c>
      <c r="J401">
        <v>3.3318000000000002E-3</v>
      </c>
      <c r="K401">
        <v>-443.63630000000001</v>
      </c>
      <c r="L401" s="26">
        <v>4.9199999999999996E-10</v>
      </c>
      <c r="M401" s="26">
        <v>2.0500000000000001E-13</v>
      </c>
      <c r="N401" s="26">
        <v>4.0100000000000001E-13</v>
      </c>
      <c r="O401" s="26">
        <v>2.7699999999999998E-13</v>
      </c>
      <c r="P401" s="26">
        <v>4.75E-14</v>
      </c>
      <c r="Q401" s="26">
        <v>3.2499999999999998E-11</v>
      </c>
    </row>
    <row r="402" spans="1:17" x14ac:dyDescent="0.3">
      <c r="A402" t="s">
        <v>446</v>
      </c>
      <c r="B402">
        <v>94.850700000000003</v>
      </c>
      <c r="C402">
        <v>8.2699999999999996E-2</v>
      </c>
      <c r="D402">
        <v>3.4099999999999998E-2</v>
      </c>
      <c r="E402">
        <v>4.9634999999999998</v>
      </c>
      <c r="F402">
        <v>1.23E-2</v>
      </c>
      <c r="G402">
        <v>5.67E-2</v>
      </c>
      <c r="H402">
        <v>0</v>
      </c>
      <c r="I402">
        <v>-1.4789000000000001</v>
      </c>
      <c r="J402">
        <v>1.0896E-3</v>
      </c>
      <c r="K402">
        <v>-1357.25</v>
      </c>
      <c r="L402" s="26">
        <v>4.9099999999999996E-10</v>
      </c>
      <c r="M402" s="26">
        <v>2.0999999999999999E-13</v>
      </c>
      <c r="N402" s="26">
        <v>4.0599999999999999E-13</v>
      </c>
      <c r="O402" s="26">
        <v>2.7599999999999999E-13</v>
      </c>
      <c r="P402" s="26">
        <v>4.7000000000000002E-14</v>
      </c>
      <c r="Q402" s="26">
        <v>3.2899999999999998E-11</v>
      </c>
    </row>
    <row r="403" spans="1:17" x14ac:dyDescent="0.3">
      <c r="A403" t="s">
        <v>447</v>
      </c>
      <c r="B403">
        <v>94.8797</v>
      </c>
      <c r="C403">
        <v>8.0799999999999997E-2</v>
      </c>
      <c r="D403">
        <v>3.4200000000000001E-2</v>
      </c>
      <c r="E403">
        <v>4.9362000000000004</v>
      </c>
      <c r="F403">
        <v>1.2200000000000001E-2</v>
      </c>
      <c r="G403">
        <v>5.6899999999999999E-2</v>
      </c>
      <c r="H403">
        <v>0</v>
      </c>
      <c r="I403">
        <v>-1.6095999999999999</v>
      </c>
      <c r="J403">
        <v>3.2198000000000001E-3</v>
      </c>
      <c r="K403">
        <v>-499.9076</v>
      </c>
      <c r="L403" s="26">
        <v>4.9199999999999996E-10</v>
      </c>
      <c r="M403" s="26">
        <v>2.1100000000000001E-13</v>
      </c>
      <c r="N403" s="26">
        <v>3.9800000000000002E-13</v>
      </c>
      <c r="O403" s="26">
        <v>2.7699999999999998E-13</v>
      </c>
      <c r="P403" s="26">
        <v>4.6900000000000001E-14</v>
      </c>
      <c r="Q403" s="26">
        <v>3.2700000000000001E-11</v>
      </c>
    </row>
    <row r="404" spans="1:17" x14ac:dyDescent="0.3">
      <c r="A404" t="s">
        <v>448</v>
      </c>
      <c r="B404">
        <v>94.837400000000002</v>
      </c>
      <c r="C404">
        <v>8.0299999999999996E-2</v>
      </c>
      <c r="D404">
        <v>3.4200000000000001E-2</v>
      </c>
      <c r="E404">
        <v>4.9783999999999997</v>
      </c>
      <c r="F404">
        <v>1.2500000000000001E-2</v>
      </c>
      <c r="G404">
        <v>5.7299999999999997E-2</v>
      </c>
      <c r="H404">
        <v>0</v>
      </c>
      <c r="I404">
        <v>-1.5709</v>
      </c>
      <c r="J404">
        <v>2.9377000000000001E-3</v>
      </c>
      <c r="K404">
        <v>-534.74009999999998</v>
      </c>
      <c r="L404" s="26">
        <v>4.9199999999999996E-10</v>
      </c>
      <c r="M404" s="26">
        <v>2.1200000000000001E-13</v>
      </c>
      <c r="N404" s="26">
        <v>3.9700000000000002E-13</v>
      </c>
      <c r="O404" s="26">
        <v>2.7599999999999999E-13</v>
      </c>
      <c r="P404" s="26">
        <v>4.7700000000000001E-14</v>
      </c>
      <c r="Q404" s="26">
        <v>3.3000000000000002E-11</v>
      </c>
    </row>
    <row r="405" spans="1:17" x14ac:dyDescent="0.3">
      <c r="A405" t="s">
        <v>449</v>
      </c>
      <c r="B405">
        <v>94.782799999999995</v>
      </c>
      <c r="C405">
        <v>8.0299999999999996E-2</v>
      </c>
      <c r="D405">
        <v>3.4099999999999998E-2</v>
      </c>
      <c r="E405">
        <v>5.0339999999999998</v>
      </c>
      <c r="F405">
        <v>1.1900000000000001E-2</v>
      </c>
      <c r="G405">
        <v>5.7000000000000002E-2</v>
      </c>
      <c r="H405">
        <v>0</v>
      </c>
      <c r="I405">
        <v>-1.5115000000000001</v>
      </c>
      <c r="J405">
        <v>2.2910999999999999E-3</v>
      </c>
      <c r="K405">
        <v>-659.74180000000001</v>
      </c>
      <c r="L405" s="26">
        <v>4.9199999999999996E-10</v>
      </c>
      <c r="M405" s="26">
        <v>2.1100000000000001E-13</v>
      </c>
      <c r="N405" s="26">
        <v>3.9700000000000002E-13</v>
      </c>
      <c r="O405" s="26">
        <v>2.7599999999999999E-13</v>
      </c>
      <c r="P405" s="26">
        <v>4.6499999999999997E-14</v>
      </c>
      <c r="Q405" s="26">
        <v>3.3400000000000002E-11</v>
      </c>
    </row>
    <row r="406" spans="1:17" x14ac:dyDescent="0.3">
      <c r="A406" t="s">
        <v>450</v>
      </c>
      <c r="B406">
        <v>94.579800000000006</v>
      </c>
      <c r="C406">
        <v>7.9699999999999993E-2</v>
      </c>
      <c r="D406">
        <v>3.4200000000000001E-2</v>
      </c>
      <c r="E406">
        <v>5.2356999999999996</v>
      </c>
      <c r="F406">
        <v>1.0999999999999999E-2</v>
      </c>
      <c r="G406">
        <v>5.9700000000000003E-2</v>
      </c>
      <c r="H406">
        <v>0</v>
      </c>
      <c r="I406">
        <v>-1.359</v>
      </c>
      <c r="J406">
        <v>2.2311000000000002E-3</v>
      </c>
      <c r="K406">
        <v>-609.11360000000002</v>
      </c>
      <c r="L406" s="26">
        <v>4.9099999999999996E-10</v>
      </c>
      <c r="M406" s="26">
        <v>2.2099999999999999E-13</v>
      </c>
      <c r="N406" s="26">
        <v>3.9399999999999999E-13</v>
      </c>
      <c r="O406" s="26">
        <v>2.7599999999999999E-13</v>
      </c>
      <c r="P406" s="26">
        <v>4.5500000000000002E-14</v>
      </c>
      <c r="Q406" s="26">
        <v>3.47E-11</v>
      </c>
    </row>
    <row r="407" spans="1:17" x14ac:dyDescent="0.3">
      <c r="A407" t="s">
        <v>451</v>
      </c>
      <c r="B407">
        <v>94.701599999999999</v>
      </c>
      <c r="C407">
        <v>8.0299999999999996E-2</v>
      </c>
      <c r="D407">
        <v>3.4200000000000001E-2</v>
      </c>
      <c r="E407">
        <v>5.1124999999999998</v>
      </c>
      <c r="F407">
        <v>1.23E-2</v>
      </c>
      <c r="G407">
        <v>5.91E-2</v>
      </c>
      <c r="H407">
        <v>0</v>
      </c>
      <c r="I407">
        <v>-0.65400000000000003</v>
      </c>
      <c r="J407">
        <v>4.4428000000000002E-3</v>
      </c>
      <c r="K407">
        <v>-147.19579999999999</v>
      </c>
      <c r="L407" s="26">
        <v>4.9199999999999996E-10</v>
      </c>
      <c r="M407" s="26">
        <v>2.19E-13</v>
      </c>
      <c r="N407" s="26">
        <v>3.9700000000000002E-13</v>
      </c>
      <c r="O407" s="26">
        <v>2.7699999999999998E-13</v>
      </c>
      <c r="P407" s="26">
        <v>4.7900000000000003E-14</v>
      </c>
      <c r="Q407" s="26">
        <v>3.3999999999999999E-11</v>
      </c>
    </row>
    <row r="408" spans="1:17" x14ac:dyDescent="0.3">
      <c r="A408" t="s">
        <v>452</v>
      </c>
      <c r="B408">
        <v>94.667199999999994</v>
      </c>
      <c r="C408">
        <v>8.1000000000000003E-2</v>
      </c>
      <c r="D408">
        <v>3.4200000000000001E-2</v>
      </c>
      <c r="E408">
        <v>5.1455000000000002</v>
      </c>
      <c r="F408">
        <v>1.2500000000000001E-2</v>
      </c>
      <c r="G408">
        <v>5.96E-2</v>
      </c>
      <c r="H408">
        <v>0</v>
      </c>
      <c r="I408">
        <v>-1.5061</v>
      </c>
      <c r="J408">
        <v>1.2769000000000001E-3</v>
      </c>
      <c r="K408">
        <v>-1179.4000000000001</v>
      </c>
      <c r="L408" s="26">
        <v>4.9099999999999996E-10</v>
      </c>
      <c r="M408" s="26">
        <v>2.2099999999999999E-13</v>
      </c>
      <c r="N408" s="26">
        <v>4.0000000000000001E-13</v>
      </c>
      <c r="O408" s="26">
        <v>2.7699999999999998E-13</v>
      </c>
      <c r="P408" s="26">
        <v>4.8600000000000002E-14</v>
      </c>
      <c r="Q408" s="26">
        <v>3.4200000000000002E-11</v>
      </c>
    </row>
    <row r="409" spans="1:17" x14ac:dyDescent="0.3">
      <c r="A409" t="s">
        <v>453</v>
      </c>
      <c r="B409">
        <v>94.603399999999993</v>
      </c>
      <c r="C409">
        <v>8.0199999999999994E-2</v>
      </c>
      <c r="D409">
        <v>3.4000000000000002E-2</v>
      </c>
      <c r="E409">
        <v>5.2103000000000002</v>
      </c>
      <c r="F409">
        <v>1.23E-2</v>
      </c>
      <c r="G409">
        <v>5.9799999999999999E-2</v>
      </c>
      <c r="H409">
        <v>0</v>
      </c>
      <c r="I409">
        <v>-1.5139</v>
      </c>
      <c r="J409">
        <v>2.2046000000000001E-3</v>
      </c>
      <c r="K409">
        <v>-686.65809999999999</v>
      </c>
      <c r="L409" s="26">
        <v>4.9099999999999996E-10</v>
      </c>
      <c r="M409" s="26">
        <v>2.2199999999999999E-13</v>
      </c>
      <c r="N409" s="26">
        <v>3.9700000000000002E-13</v>
      </c>
      <c r="O409" s="26">
        <v>2.7599999999999999E-13</v>
      </c>
      <c r="P409" s="26">
        <v>4.83E-14</v>
      </c>
      <c r="Q409" s="26">
        <v>3.4600000000000002E-11</v>
      </c>
    </row>
    <row r="410" spans="1:17" x14ac:dyDescent="0.3">
      <c r="A410" t="s">
        <v>454</v>
      </c>
      <c r="B410">
        <v>94.568899999999999</v>
      </c>
      <c r="C410">
        <v>0.08</v>
      </c>
      <c r="D410">
        <v>3.4299999999999997E-2</v>
      </c>
      <c r="E410">
        <v>5.2441000000000004</v>
      </c>
      <c r="F410">
        <v>1.24E-2</v>
      </c>
      <c r="G410">
        <v>6.0199999999999997E-2</v>
      </c>
      <c r="H410">
        <v>0</v>
      </c>
      <c r="I410">
        <v>-1.5081</v>
      </c>
      <c r="J410">
        <v>1.8403E-3</v>
      </c>
      <c r="K410">
        <v>-819.46010000000001</v>
      </c>
      <c r="L410" s="26">
        <v>4.9099999999999996E-10</v>
      </c>
      <c r="M410" s="26">
        <v>2.2300000000000001E-13</v>
      </c>
      <c r="N410" s="26">
        <v>3.9599999999999998E-13</v>
      </c>
      <c r="O410" s="26">
        <v>2.7799999999999998E-13</v>
      </c>
      <c r="P410" s="26">
        <v>4.8600000000000002E-14</v>
      </c>
      <c r="Q410" s="26">
        <v>3.4899999999999997E-11</v>
      </c>
    </row>
    <row r="411" spans="1:17" x14ac:dyDescent="0.3">
      <c r="A411" t="s">
        <v>455</v>
      </c>
      <c r="B411">
        <v>94.523300000000006</v>
      </c>
      <c r="C411">
        <v>8.0399999999999999E-2</v>
      </c>
      <c r="D411">
        <v>3.4099999999999998E-2</v>
      </c>
      <c r="E411">
        <v>5.2882999999999996</v>
      </c>
      <c r="F411">
        <v>1.32E-2</v>
      </c>
      <c r="G411">
        <v>6.08E-2</v>
      </c>
      <c r="H411">
        <v>0</v>
      </c>
      <c r="I411">
        <v>-1.5028999999999999</v>
      </c>
      <c r="J411">
        <v>2.0417999999999999E-3</v>
      </c>
      <c r="K411">
        <v>-736.07169999999996</v>
      </c>
      <c r="L411" s="26">
        <v>4.9099999999999996E-10</v>
      </c>
      <c r="M411" s="26">
        <v>2.26E-13</v>
      </c>
      <c r="N411" s="26">
        <v>3.9700000000000002E-13</v>
      </c>
      <c r="O411" s="26">
        <v>2.7599999999999999E-13</v>
      </c>
      <c r="P411" s="26">
        <v>5.0499999999999999E-14</v>
      </c>
      <c r="Q411" s="26">
        <v>3.51E-11</v>
      </c>
    </row>
    <row r="412" spans="1:17" x14ac:dyDescent="0.3">
      <c r="A412" t="s">
        <v>456</v>
      </c>
      <c r="B412">
        <v>94.481800000000007</v>
      </c>
      <c r="C412">
        <v>8.0199999999999994E-2</v>
      </c>
      <c r="D412">
        <v>3.4099999999999998E-2</v>
      </c>
      <c r="E412">
        <v>5.3301999999999996</v>
      </c>
      <c r="F412">
        <v>1.21E-2</v>
      </c>
      <c r="G412">
        <v>6.1600000000000002E-2</v>
      </c>
      <c r="H412">
        <v>0</v>
      </c>
      <c r="I412">
        <v>-1.4925999999999999</v>
      </c>
      <c r="J412">
        <v>2.0179999999999998E-3</v>
      </c>
      <c r="K412">
        <v>-739.58950000000004</v>
      </c>
      <c r="L412" s="26">
        <v>4.9099999999999996E-10</v>
      </c>
      <c r="M412" s="26">
        <v>2.2899999999999998E-13</v>
      </c>
      <c r="N412" s="26">
        <v>3.9700000000000002E-13</v>
      </c>
      <c r="O412" s="26">
        <v>2.7699999999999998E-13</v>
      </c>
      <c r="P412" s="26">
        <v>4.8400000000000001E-14</v>
      </c>
      <c r="Q412" s="26">
        <v>3.5400000000000002E-11</v>
      </c>
    </row>
    <row r="413" spans="1:17" x14ac:dyDescent="0.3">
      <c r="A413" t="s">
        <v>457</v>
      </c>
      <c r="B413">
        <v>94.4345</v>
      </c>
      <c r="C413">
        <v>8.0199999999999994E-2</v>
      </c>
      <c r="D413">
        <v>3.4099999999999998E-2</v>
      </c>
      <c r="E413">
        <v>5.3757999999999999</v>
      </c>
      <c r="F413">
        <v>1.32E-2</v>
      </c>
      <c r="G413">
        <v>6.2199999999999998E-2</v>
      </c>
      <c r="H413">
        <v>0</v>
      </c>
      <c r="I413">
        <v>-1.4897</v>
      </c>
      <c r="J413">
        <v>1.214E-3</v>
      </c>
      <c r="K413">
        <v>-1227.0530000000001</v>
      </c>
      <c r="L413" s="26">
        <v>4.9099999999999996E-10</v>
      </c>
      <c r="M413" s="26">
        <v>2.3099999999999997E-13</v>
      </c>
      <c r="N413" s="26">
        <v>3.9700000000000002E-13</v>
      </c>
      <c r="O413" s="26">
        <v>2.7599999999999999E-13</v>
      </c>
      <c r="P413" s="26">
        <v>5.0999999999999997E-14</v>
      </c>
      <c r="Q413" s="26">
        <v>3.5699999999999997E-11</v>
      </c>
    </row>
    <row r="414" spans="1:17" x14ac:dyDescent="0.3">
      <c r="A414" t="s">
        <v>458</v>
      </c>
      <c r="B414">
        <v>94.393199999999993</v>
      </c>
      <c r="C414">
        <v>7.9799999999999996E-2</v>
      </c>
      <c r="D414">
        <v>3.4000000000000002E-2</v>
      </c>
      <c r="E414">
        <v>5.4177</v>
      </c>
      <c r="F414">
        <v>1.2200000000000001E-2</v>
      </c>
      <c r="G414">
        <v>6.3100000000000003E-2</v>
      </c>
      <c r="H414">
        <v>0</v>
      </c>
      <c r="I414">
        <v>-1.4494</v>
      </c>
      <c r="J414">
        <v>1.7061999999999999E-3</v>
      </c>
      <c r="K414">
        <v>-849.48739999999998</v>
      </c>
      <c r="L414" s="26">
        <v>4.8999999999999996E-10</v>
      </c>
      <c r="M414" s="26">
        <v>2.3400000000000001E-13</v>
      </c>
      <c r="N414" s="26">
        <v>3.9499999999999998E-13</v>
      </c>
      <c r="O414" s="26">
        <v>2.7499999999999999E-13</v>
      </c>
      <c r="P414" s="26">
        <v>4.9200000000000001E-14</v>
      </c>
      <c r="Q414" s="26">
        <v>3.5999999999999998E-11</v>
      </c>
    </row>
    <row r="415" spans="1:17" x14ac:dyDescent="0.3">
      <c r="A415" t="s">
        <v>459</v>
      </c>
      <c r="B415">
        <v>94.3827</v>
      </c>
      <c r="C415">
        <v>7.9600000000000004E-2</v>
      </c>
      <c r="D415">
        <v>3.39E-2</v>
      </c>
      <c r="E415">
        <v>5.4294000000000002</v>
      </c>
      <c r="F415">
        <v>1.1299999999999999E-2</v>
      </c>
      <c r="G415">
        <v>6.3100000000000003E-2</v>
      </c>
      <c r="H415">
        <v>0</v>
      </c>
      <c r="I415">
        <v>-1.5498000000000001</v>
      </c>
      <c r="J415">
        <v>1.6651000000000001E-3</v>
      </c>
      <c r="K415">
        <v>-930.71590000000003</v>
      </c>
      <c r="L415" s="26">
        <v>4.8999999999999996E-10</v>
      </c>
      <c r="M415" s="26">
        <v>2.3400000000000001E-13</v>
      </c>
      <c r="N415" s="26">
        <v>3.9399999999999999E-13</v>
      </c>
      <c r="O415" s="26">
        <v>2.7399999999999999E-13</v>
      </c>
      <c r="P415" s="26">
        <v>4.7199999999999997E-14</v>
      </c>
      <c r="Q415" s="26">
        <v>3.5999999999999998E-11</v>
      </c>
    </row>
    <row r="416" spans="1:17" x14ac:dyDescent="0.3">
      <c r="A416" t="s">
        <v>460</v>
      </c>
      <c r="B416">
        <v>94.322800000000001</v>
      </c>
      <c r="C416">
        <v>7.9699999999999993E-2</v>
      </c>
      <c r="D416">
        <v>3.4099999999999998E-2</v>
      </c>
      <c r="E416">
        <v>5.4878999999999998</v>
      </c>
      <c r="F416">
        <v>1.23E-2</v>
      </c>
      <c r="G416">
        <v>6.3299999999999995E-2</v>
      </c>
      <c r="H416">
        <v>0</v>
      </c>
      <c r="I416">
        <v>-1.5827</v>
      </c>
      <c r="J416">
        <v>2.2824999999999998E-3</v>
      </c>
      <c r="K416">
        <v>-693.37829999999997</v>
      </c>
      <c r="L416" s="26">
        <v>4.8899999999999997E-10</v>
      </c>
      <c r="M416" s="26">
        <v>2.3500000000000001E-13</v>
      </c>
      <c r="N416" s="26">
        <v>3.9399999999999999E-13</v>
      </c>
      <c r="O416" s="26">
        <v>2.7599999999999999E-13</v>
      </c>
      <c r="P416" s="26">
        <v>4.9400000000000003E-14</v>
      </c>
      <c r="Q416" s="26">
        <v>3.6399999999999998E-11</v>
      </c>
    </row>
    <row r="417" spans="1:17" x14ac:dyDescent="0.3">
      <c r="A417" t="s">
        <v>461</v>
      </c>
      <c r="B417">
        <v>94.195899999999995</v>
      </c>
      <c r="C417">
        <v>8.1100000000000005E-2</v>
      </c>
      <c r="D417">
        <v>3.3700000000000001E-2</v>
      </c>
      <c r="E417">
        <v>5.6116000000000001</v>
      </c>
      <c r="F417">
        <v>1.2699999999999999E-2</v>
      </c>
      <c r="G417">
        <v>6.5000000000000002E-2</v>
      </c>
      <c r="H417">
        <v>0</v>
      </c>
      <c r="I417">
        <v>-1.5004999999999999</v>
      </c>
      <c r="J417">
        <v>7.9717000000000004E-4</v>
      </c>
      <c r="K417">
        <v>-1882.3130000000001</v>
      </c>
      <c r="L417" s="26">
        <v>4.8899999999999997E-10</v>
      </c>
      <c r="M417" s="26">
        <v>2.4099999999999998E-13</v>
      </c>
      <c r="N417" s="26">
        <v>4.0100000000000001E-13</v>
      </c>
      <c r="O417" s="26">
        <v>2.73E-13</v>
      </c>
      <c r="P417" s="26">
        <v>5.0900000000000003E-14</v>
      </c>
      <c r="Q417" s="26">
        <v>3.7300000000000003E-11</v>
      </c>
    </row>
    <row r="418" spans="1:17" x14ac:dyDescent="0.3">
      <c r="A418" t="s">
        <v>462</v>
      </c>
      <c r="B418">
        <v>94.230400000000003</v>
      </c>
      <c r="C418">
        <v>7.85E-2</v>
      </c>
      <c r="D418">
        <v>3.3799999999999997E-2</v>
      </c>
      <c r="E418">
        <v>5.5796000000000001</v>
      </c>
      <c r="F418">
        <v>1.29E-2</v>
      </c>
      <c r="G418">
        <v>6.4799999999999996E-2</v>
      </c>
      <c r="H418">
        <v>0</v>
      </c>
      <c r="I418">
        <v>-1.6327</v>
      </c>
      <c r="J418">
        <v>3.4172999999999999E-3</v>
      </c>
      <c r="K418">
        <v>-477.7647</v>
      </c>
      <c r="L418" s="26">
        <v>4.8899999999999997E-10</v>
      </c>
      <c r="M418" s="26">
        <v>2.3999999999999999E-13</v>
      </c>
      <c r="N418" s="26">
        <v>3.9E-13</v>
      </c>
      <c r="O418" s="26">
        <v>2.7399999999999999E-13</v>
      </c>
      <c r="P418" s="26">
        <v>5.1199999999999999E-14</v>
      </c>
      <c r="Q418" s="26">
        <v>3.71E-11</v>
      </c>
    </row>
    <row r="419" spans="1:17" x14ac:dyDescent="0.3">
      <c r="A419" t="s">
        <v>463</v>
      </c>
      <c r="B419">
        <v>94.188299999999998</v>
      </c>
      <c r="C419">
        <v>7.8200000000000006E-2</v>
      </c>
      <c r="D419">
        <v>3.39E-2</v>
      </c>
      <c r="E419">
        <v>5.6224999999999996</v>
      </c>
      <c r="F419">
        <v>1.23E-2</v>
      </c>
      <c r="G419">
        <v>6.4799999999999996E-2</v>
      </c>
      <c r="H419">
        <v>0</v>
      </c>
      <c r="I419">
        <v>-1.617</v>
      </c>
      <c r="J419">
        <v>3.2521999999999998E-3</v>
      </c>
      <c r="K419">
        <v>-497.18700000000001</v>
      </c>
      <c r="L419" s="26">
        <v>4.8899999999999997E-10</v>
      </c>
      <c r="M419" s="26">
        <v>2.3999999999999999E-13</v>
      </c>
      <c r="N419" s="26">
        <v>3.8800000000000001E-13</v>
      </c>
      <c r="O419" s="26">
        <v>2.7399999999999999E-13</v>
      </c>
      <c r="P419" s="26">
        <v>5.0000000000000002E-14</v>
      </c>
      <c r="Q419" s="26">
        <v>3.7300000000000003E-11</v>
      </c>
    </row>
    <row r="420" spans="1:17" x14ac:dyDescent="0.3">
      <c r="A420" t="s">
        <v>464</v>
      </c>
      <c r="B420">
        <v>94.127099999999999</v>
      </c>
      <c r="C420">
        <v>7.9000000000000001E-2</v>
      </c>
      <c r="D420">
        <v>3.4000000000000002E-2</v>
      </c>
      <c r="E420">
        <v>5.6786000000000003</v>
      </c>
      <c r="F420">
        <v>1.61E-2</v>
      </c>
      <c r="G420">
        <v>6.5299999999999997E-2</v>
      </c>
      <c r="H420">
        <v>0</v>
      </c>
      <c r="I420">
        <v>-1.6501999999999999</v>
      </c>
      <c r="J420">
        <v>1.4862E-3</v>
      </c>
      <c r="K420">
        <v>-1110.3150000000001</v>
      </c>
      <c r="L420" s="26">
        <v>4.8799999999999997E-10</v>
      </c>
      <c r="M420" s="26">
        <v>2.4199999999999998E-13</v>
      </c>
      <c r="N420" s="26">
        <v>3.91E-13</v>
      </c>
      <c r="O420" s="26">
        <v>2.7499999999999999E-13</v>
      </c>
      <c r="P420" s="26">
        <v>5.8199999999999994E-14</v>
      </c>
      <c r="Q420" s="26">
        <v>3.7700000000000003E-11</v>
      </c>
    </row>
    <row r="421" spans="1:17" x14ac:dyDescent="0.3">
      <c r="A421" t="s">
        <v>465</v>
      </c>
      <c r="B421">
        <v>94.087500000000006</v>
      </c>
      <c r="C421">
        <v>7.9100000000000004E-2</v>
      </c>
      <c r="D421">
        <v>3.3599999999999998E-2</v>
      </c>
      <c r="E421">
        <v>5.7206000000000001</v>
      </c>
      <c r="F421">
        <v>1.37E-2</v>
      </c>
      <c r="G421">
        <v>6.54E-2</v>
      </c>
      <c r="H421">
        <v>0</v>
      </c>
      <c r="I421">
        <v>-1.6486000000000001</v>
      </c>
      <c r="J421">
        <v>2.1687999999999998E-3</v>
      </c>
      <c r="K421">
        <v>-760.11689999999999</v>
      </c>
      <c r="L421" s="26">
        <v>4.8899999999999997E-10</v>
      </c>
      <c r="M421" s="26">
        <v>2.4300000000000002E-13</v>
      </c>
      <c r="N421" s="26">
        <v>3.92E-13</v>
      </c>
      <c r="O421" s="26">
        <v>2.73E-13</v>
      </c>
      <c r="P421" s="26">
        <v>5.3299999999999998E-14</v>
      </c>
      <c r="Q421" s="26">
        <v>3.7999999999999998E-11</v>
      </c>
    </row>
    <row r="422" spans="1:17" x14ac:dyDescent="0.3">
      <c r="A422" t="s">
        <v>466</v>
      </c>
      <c r="B422">
        <v>94.052199999999999</v>
      </c>
      <c r="C422">
        <v>7.8899999999999998E-2</v>
      </c>
      <c r="D422">
        <v>3.3700000000000001E-2</v>
      </c>
      <c r="E422">
        <v>5.7572000000000001</v>
      </c>
      <c r="F422">
        <v>1.14E-2</v>
      </c>
      <c r="G422">
        <v>6.6600000000000006E-2</v>
      </c>
      <c r="H422">
        <v>0</v>
      </c>
      <c r="I422">
        <v>-1.6726000000000001</v>
      </c>
      <c r="J422">
        <v>1.8809E-3</v>
      </c>
      <c r="K422">
        <v>-889.20650000000001</v>
      </c>
      <c r="L422" s="26">
        <v>4.8799999999999997E-10</v>
      </c>
      <c r="M422" s="26">
        <v>2.4700000000000001E-13</v>
      </c>
      <c r="N422" s="26">
        <v>3.91E-13</v>
      </c>
      <c r="O422" s="26">
        <v>2.73E-13</v>
      </c>
      <c r="P422" s="26">
        <v>4.8699999999999997E-14</v>
      </c>
      <c r="Q422" s="26">
        <v>3.8200000000000001E-11</v>
      </c>
    </row>
    <row r="423" spans="1:17" x14ac:dyDescent="0.3">
      <c r="A423" t="s">
        <v>467</v>
      </c>
      <c r="B423">
        <v>93.9495</v>
      </c>
      <c r="C423">
        <v>7.85E-2</v>
      </c>
      <c r="D423">
        <v>3.3599999999999998E-2</v>
      </c>
      <c r="E423">
        <v>5.8574000000000002</v>
      </c>
      <c r="F423">
        <v>1.37E-2</v>
      </c>
      <c r="G423">
        <v>6.7199999999999996E-2</v>
      </c>
      <c r="H423">
        <v>0</v>
      </c>
      <c r="I423">
        <v>-1.6372</v>
      </c>
      <c r="J423">
        <v>2.1075999999999998E-3</v>
      </c>
      <c r="K423">
        <v>-776.8066</v>
      </c>
      <c r="L423" s="26">
        <v>4.8799999999999997E-10</v>
      </c>
      <c r="M423" s="26">
        <v>2.49E-13</v>
      </c>
      <c r="N423" s="26">
        <v>3.9E-13</v>
      </c>
      <c r="O423" s="26">
        <v>2.72E-13</v>
      </c>
      <c r="P423" s="26">
        <v>5.3999999999999997E-14</v>
      </c>
      <c r="Q423" s="26">
        <v>3.8900000000000003E-11</v>
      </c>
    </row>
    <row r="424" spans="1:17" x14ac:dyDescent="0.3">
      <c r="A424" t="s">
        <v>468</v>
      </c>
      <c r="B424">
        <v>93.9298</v>
      </c>
      <c r="C424">
        <v>7.8799999999999995E-2</v>
      </c>
      <c r="D424">
        <v>3.3599999999999998E-2</v>
      </c>
      <c r="E424">
        <v>5.8761999999999999</v>
      </c>
      <c r="F424">
        <v>1.32E-2</v>
      </c>
      <c r="G424">
        <v>6.83E-2</v>
      </c>
      <c r="H424">
        <v>0</v>
      </c>
      <c r="I424">
        <v>-1.649</v>
      </c>
      <c r="J424">
        <v>2.7401000000000001E-3</v>
      </c>
      <c r="K424">
        <v>-601.8116</v>
      </c>
      <c r="L424" s="26">
        <v>4.8799999999999997E-10</v>
      </c>
      <c r="M424" s="26">
        <v>2.5399999999999998E-13</v>
      </c>
      <c r="N424" s="26">
        <v>3.91E-13</v>
      </c>
      <c r="O424" s="26">
        <v>2.73E-13</v>
      </c>
      <c r="P424" s="26">
        <v>5.3200000000000003E-14</v>
      </c>
      <c r="Q424" s="26">
        <v>3.9000000000000001E-11</v>
      </c>
    </row>
    <row r="425" spans="1:17" x14ac:dyDescent="0.3">
      <c r="A425" t="s">
        <v>469</v>
      </c>
      <c r="B425">
        <v>93.938400000000001</v>
      </c>
      <c r="C425">
        <v>7.8700000000000006E-2</v>
      </c>
      <c r="D425">
        <v>3.4000000000000002E-2</v>
      </c>
      <c r="E425">
        <v>5.8661000000000003</v>
      </c>
      <c r="F425">
        <v>1.34E-2</v>
      </c>
      <c r="G425">
        <v>6.9400000000000003E-2</v>
      </c>
      <c r="H425">
        <v>0</v>
      </c>
      <c r="I425">
        <v>-1.7111000000000001</v>
      </c>
      <c r="J425">
        <v>1.9151000000000001E-3</v>
      </c>
      <c r="K425">
        <v>-893.44399999999996</v>
      </c>
      <c r="L425" s="26">
        <v>4.8799999999999997E-10</v>
      </c>
      <c r="M425" s="26">
        <v>2.5700000000000002E-13</v>
      </c>
      <c r="N425" s="26">
        <v>3.9E-13</v>
      </c>
      <c r="O425" s="26">
        <v>2.7499999999999999E-13</v>
      </c>
      <c r="P425" s="26">
        <v>5.3900000000000003E-14</v>
      </c>
      <c r="Q425" s="26">
        <v>3.8900000000000003E-11</v>
      </c>
    </row>
    <row r="426" spans="1:17" x14ac:dyDescent="0.3">
      <c r="A426" t="s">
        <v>470</v>
      </c>
      <c r="B426">
        <v>93.869500000000002</v>
      </c>
      <c r="C426">
        <v>7.85E-2</v>
      </c>
      <c r="D426">
        <v>3.3700000000000001E-2</v>
      </c>
      <c r="E426">
        <v>5.9352999999999998</v>
      </c>
      <c r="F426">
        <v>1.3599999999999999E-2</v>
      </c>
      <c r="G426">
        <v>6.93E-2</v>
      </c>
      <c r="H426">
        <v>0</v>
      </c>
      <c r="I426">
        <v>-1.6878</v>
      </c>
      <c r="J426">
        <v>2.4497999999999998E-3</v>
      </c>
      <c r="K426">
        <v>-688.94460000000004</v>
      </c>
      <c r="L426" s="26">
        <v>4.8799999999999997E-10</v>
      </c>
      <c r="M426" s="26">
        <v>2.5700000000000002E-13</v>
      </c>
      <c r="N426" s="26">
        <v>3.9E-13</v>
      </c>
      <c r="O426" s="26">
        <v>2.73E-13</v>
      </c>
      <c r="P426" s="26">
        <v>5.44E-14</v>
      </c>
      <c r="Q426" s="26">
        <v>3.9400000000000001E-11</v>
      </c>
    </row>
    <row r="427" spans="1:17" x14ac:dyDescent="0.3">
      <c r="A427" t="s">
        <v>471</v>
      </c>
      <c r="B427">
        <v>93.795400000000001</v>
      </c>
      <c r="C427">
        <v>7.8700000000000006E-2</v>
      </c>
      <c r="D427">
        <v>3.3799999999999997E-2</v>
      </c>
      <c r="E427">
        <v>6.0084</v>
      </c>
      <c r="F427">
        <v>1.38E-2</v>
      </c>
      <c r="G427">
        <v>6.9900000000000004E-2</v>
      </c>
      <c r="H427">
        <v>0</v>
      </c>
      <c r="I427">
        <v>-1.6852</v>
      </c>
      <c r="J427">
        <v>2.2200000000000002E-3</v>
      </c>
      <c r="K427">
        <v>-759.10220000000004</v>
      </c>
      <c r="L427" s="26">
        <v>4.8699999999999997E-10</v>
      </c>
      <c r="M427" s="26">
        <v>2.5900000000000001E-13</v>
      </c>
      <c r="N427" s="26">
        <v>3.9E-13</v>
      </c>
      <c r="O427" s="26">
        <v>2.7399999999999999E-13</v>
      </c>
      <c r="P427" s="26">
        <v>5.4899999999999998E-14</v>
      </c>
      <c r="Q427" s="26">
        <v>3.9899999999999999E-11</v>
      </c>
    </row>
    <row r="428" spans="1:17" x14ac:dyDescent="0.3">
      <c r="A428" t="s">
        <v>472</v>
      </c>
      <c r="B428">
        <v>93.781999999999996</v>
      </c>
      <c r="C428">
        <v>7.8299999999999995E-2</v>
      </c>
      <c r="D428">
        <v>3.39E-2</v>
      </c>
      <c r="E428">
        <v>6.0217999999999998</v>
      </c>
      <c r="F428">
        <v>1.41E-2</v>
      </c>
      <c r="G428">
        <v>7.0000000000000007E-2</v>
      </c>
      <c r="H428">
        <v>0</v>
      </c>
      <c r="I428">
        <v>-1.7264999999999999</v>
      </c>
      <c r="J428">
        <v>2.3598E-3</v>
      </c>
      <c r="K428">
        <v>-731.60209999999995</v>
      </c>
      <c r="L428" s="26">
        <v>4.8699999999999997E-10</v>
      </c>
      <c r="M428" s="26">
        <v>2.6E-13</v>
      </c>
      <c r="N428" s="26">
        <v>3.8900000000000001E-13</v>
      </c>
      <c r="O428" s="26">
        <v>2.7499999999999999E-13</v>
      </c>
      <c r="P428" s="26">
        <v>5.5599999999999998E-14</v>
      </c>
      <c r="Q428" s="26">
        <v>3.9999999999999998E-11</v>
      </c>
    </row>
    <row r="429" spans="1:17" x14ac:dyDescent="0.3">
      <c r="A429" t="s">
        <v>473</v>
      </c>
      <c r="B429">
        <v>93.718100000000007</v>
      </c>
      <c r="C429">
        <v>7.85E-2</v>
      </c>
      <c r="D429">
        <v>3.4099999999999998E-2</v>
      </c>
      <c r="E429">
        <v>6.0842999999999998</v>
      </c>
      <c r="F429">
        <v>1.3899999999999999E-2</v>
      </c>
      <c r="G429">
        <v>7.1199999999999999E-2</v>
      </c>
      <c r="H429">
        <v>0</v>
      </c>
      <c r="I429">
        <v>-1.6362000000000001</v>
      </c>
      <c r="J429">
        <v>2.2428999999999999E-3</v>
      </c>
      <c r="K429">
        <v>-729.4982</v>
      </c>
      <c r="L429" s="26">
        <v>4.8699999999999997E-10</v>
      </c>
      <c r="M429" s="26">
        <v>2.6499999999999998E-13</v>
      </c>
      <c r="N429" s="26">
        <v>3.9E-13</v>
      </c>
      <c r="O429" s="26">
        <v>2.7599999999999999E-13</v>
      </c>
      <c r="P429" s="26">
        <v>5.5599999999999998E-14</v>
      </c>
      <c r="Q429" s="26">
        <v>4.0399999999999997E-11</v>
      </c>
    </row>
    <row r="430" spans="1:17" x14ac:dyDescent="0.3">
      <c r="A430" t="s">
        <v>474</v>
      </c>
      <c r="B430">
        <v>93.671800000000005</v>
      </c>
      <c r="C430">
        <v>7.8700000000000006E-2</v>
      </c>
      <c r="D430">
        <v>3.3500000000000002E-2</v>
      </c>
      <c r="E430">
        <v>6.1319999999999997</v>
      </c>
      <c r="F430">
        <v>1.2800000000000001E-2</v>
      </c>
      <c r="G430">
        <v>7.1099999999999997E-2</v>
      </c>
      <c r="H430">
        <v>0</v>
      </c>
      <c r="I430">
        <v>-1.6718</v>
      </c>
      <c r="J430">
        <v>1.7445E-3</v>
      </c>
      <c r="K430">
        <v>-958.30399999999997</v>
      </c>
      <c r="L430" s="26">
        <v>4.8699999999999997E-10</v>
      </c>
      <c r="M430" s="26">
        <v>2.6399999999999999E-13</v>
      </c>
      <c r="N430" s="26">
        <v>3.91E-13</v>
      </c>
      <c r="O430" s="26">
        <v>2.72E-13</v>
      </c>
      <c r="P430" s="26">
        <v>5.3399999999999998E-14</v>
      </c>
      <c r="Q430" s="26">
        <v>4.0799999999999997E-11</v>
      </c>
    </row>
    <row r="431" spans="1:17" x14ac:dyDescent="0.3">
      <c r="A431" t="s">
        <v>475</v>
      </c>
      <c r="B431">
        <v>93.637500000000003</v>
      </c>
      <c r="C431">
        <v>7.85E-2</v>
      </c>
      <c r="D431">
        <v>3.3500000000000002E-2</v>
      </c>
      <c r="E431">
        <v>6.1646999999999998</v>
      </c>
      <c r="F431">
        <v>1.35E-2</v>
      </c>
      <c r="G431">
        <v>7.22E-2</v>
      </c>
      <c r="H431">
        <v>0</v>
      </c>
      <c r="I431">
        <v>-1.6813</v>
      </c>
      <c r="J431">
        <v>2.8300000000000001E-3</v>
      </c>
      <c r="K431">
        <v>-594.09979999999996</v>
      </c>
      <c r="L431" s="26">
        <v>4.8699999999999997E-10</v>
      </c>
      <c r="M431" s="26">
        <v>2.6800000000000002E-13</v>
      </c>
      <c r="N431" s="26">
        <v>3.91E-13</v>
      </c>
      <c r="O431" s="26">
        <v>2.72E-13</v>
      </c>
      <c r="P431" s="26">
        <v>5.5300000000000002E-14</v>
      </c>
      <c r="Q431" s="26">
        <v>4.1000000000000001E-11</v>
      </c>
    </row>
    <row r="432" spans="1:17" x14ac:dyDescent="0.3">
      <c r="A432" t="s">
        <v>476</v>
      </c>
      <c r="B432">
        <v>93.549199999999999</v>
      </c>
      <c r="C432">
        <v>0.08</v>
      </c>
      <c r="D432">
        <v>3.3599999999999998E-2</v>
      </c>
      <c r="E432">
        <v>6.2493999999999996</v>
      </c>
      <c r="F432">
        <v>1.37E-2</v>
      </c>
      <c r="G432">
        <v>7.4099999999999999E-2</v>
      </c>
      <c r="H432">
        <v>0</v>
      </c>
      <c r="I432">
        <v>-1.6063000000000001</v>
      </c>
      <c r="J432" s="26">
        <v>5.2200000000000002E-5</v>
      </c>
      <c r="K432">
        <v>-30782.22</v>
      </c>
      <c r="L432" s="26">
        <v>4.8699999999999997E-10</v>
      </c>
      <c r="M432" s="26">
        <v>2.7499999999999999E-13</v>
      </c>
      <c r="N432" s="26">
        <v>3.9700000000000002E-13</v>
      </c>
      <c r="O432" s="26">
        <v>2.73E-13</v>
      </c>
      <c r="P432" s="26">
        <v>5.6299999999999997E-14</v>
      </c>
      <c r="Q432" s="26">
        <v>4.1599999999999997E-11</v>
      </c>
    </row>
    <row r="433" spans="1:17" x14ac:dyDescent="0.3">
      <c r="A433" t="s">
        <v>477</v>
      </c>
      <c r="B433">
        <v>93.546000000000006</v>
      </c>
      <c r="C433">
        <v>7.8700000000000006E-2</v>
      </c>
      <c r="D433">
        <v>3.3700000000000001E-2</v>
      </c>
      <c r="E433">
        <v>6.2538</v>
      </c>
      <c r="F433">
        <v>1.4E-2</v>
      </c>
      <c r="G433">
        <v>7.3800000000000004E-2</v>
      </c>
      <c r="H433">
        <v>0</v>
      </c>
      <c r="I433">
        <v>-1.6837</v>
      </c>
      <c r="J433">
        <v>3.0368000000000001E-3</v>
      </c>
      <c r="K433">
        <v>-554.42780000000005</v>
      </c>
      <c r="L433" s="26">
        <v>4.8699999999999997E-10</v>
      </c>
      <c r="M433" s="26">
        <v>2.7399999999999999E-13</v>
      </c>
      <c r="N433" s="26">
        <v>3.91E-13</v>
      </c>
      <c r="O433" s="26">
        <v>2.73E-13</v>
      </c>
      <c r="P433" s="26">
        <v>5.6800000000000002E-14</v>
      </c>
      <c r="Q433" s="26">
        <v>4.1599999999999997E-11</v>
      </c>
    </row>
    <row r="434" spans="1:17" x14ac:dyDescent="0.3">
      <c r="A434" t="s">
        <v>478</v>
      </c>
      <c r="B434">
        <v>93.529799999999994</v>
      </c>
      <c r="C434">
        <v>7.8700000000000006E-2</v>
      </c>
      <c r="D434">
        <v>3.3500000000000002E-2</v>
      </c>
      <c r="E434">
        <v>6.2704000000000004</v>
      </c>
      <c r="F434">
        <v>1.3599999999999999E-2</v>
      </c>
      <c r="G434">
        <v>7.3999999999999996E-2</v>
      </c>
      <c r="H434">
        <v>0</v>
      </c>
      <c r="I434">
        <v>-1.6681999999999999</v>
      </c>
      <c r="J434">
        <v>1.7852E-3</v>
      </c>
      <c r="K434">
        <v>-934.47050000000002</v>
      </c>
      <c r="L434" s="26">
        <v>4.8699999999999997E-10</v>
      </c>
      <c r="M434" s="26">
        <v>2.7499999999999999E-13</v>
      </c>
      <c r="N434" s="26">
        <v>3.92E-13</v>
      </c>
      <c r="O434" s="26">
        <v>2.72E-13</v>
      </c>
      <c r="P434" s="26">
        <v>5.6200000000000003E-14</v>
      </c>
      <c r="Q434" s="26">
        <v>4.18E-11</v>
      </c>
    </row>
    <row r="435" spans="1:17" x14ac:dyDescent="0.3">
      <c r="A435" t="s">
        <v>479</v>
      </c>
      <c r="B435">
        <v>93.465400000000002</v>
      </c>
      <c r="C435">
        <v>7.9200000000000007E-2</v>
      </c>
      <c r="D435">
        <v>3.3700000000000001E-2</v>
      </c>
      <c r="E435">
        <v>6.3318000000000003</v>
      </c>
      <c r="F435">
        <v>1.49E-2</v>
      </c>
      <c r="G435">
        <v>7.4999999999999997E-2</v>
      </c>
      <c r="H435">
        <v>0</v>
      </c>
      <c r="I435">
        <v>-1.6812</v>
      </c>
      <c r="J435">
        <v>9.6504999999999996E-4</v>
      </c>
      <c r="K435">
        <v>-1742.079</v>
      </c>
      <c r="L435" s="26">
        <v>4.8699999999999997E-10</v>
      </c>
      <c r="M435" s="26">
        <v>2.7900000000000002E-13</v>
      </c>
      <c r="N435" s="26">
        <v>3.9399999999999999E-13</v>
      </c>
      <c r="O435" s="26">
        <v>2.7399999999999999E-13</v>
      </c>
      <c r="P435" s="26">
        <v>5.9099999999999996E-14</v>
      </c>
      <c r="Q435" s="26">
        <v>4.22E-11</v>
      </c>
    </row>
    <row r="436" spans="1:17" x14ac:dyDescent="0.3">
      <c r="A436" t="s">
        <v>480</v>
      </c>
      <c r="B436">
        <v>93.436300000000003</v>
      </c>
      <c r="C436">
        <v>7.8600000000000003E-2</v>
      </c>
      <c r="D436">
        <v>3.3799999999999997E-2</v>
      </c>
      <c r="E436">
        <v>6.3624000000000001</v>
      </c>
      <c r="F436">
        <v>1.4999999999999999E-2</v>
      </c>
      <c r="G436">
        <v>7.3999999999999996E-2</v>
      </c>
      <c r="H436">
        <v>0</v>
      </c>
      <c r="I436">
        <v>-1.6779999999999999</v>
      </c>
      <c r="J436">
        <v>1.8265E-3</v>
      </c>
      <c r="K436">
        <v>-918.70410000000004</v>
      </c>
      <c r="L436" s="26">
        <v>4.8699999999999997E-10</v>
      </c>
      <c r="M436" s="26">
        <v>2.7499999999999999E-13</v>
      </c>
      <c r="N436" s="26">
        <v>3.91E-13</v>
      </c>
      <c r="O436" s="26">
        <v>2.7499999999999999E-13</v>
      </c>
      <c r="P436" s="26">
        <v>5.9200000000000003E-14</v>
      </c>
      <c r="Q436" s="26">
        <v>4.2399999999999997E-11</v>
      </c>
    </row>
    <row r="437" spans="1:17" x14ac:dyDescent="0.3">
      <c r="A437" t="s">
        <v>481</v>
      </c>
      <c r="B437">
        <v>94.172600000000003</v>
      </c>
      <c r="C437">
        <v>7.9399999999999998E-2</v>
      </c>
      <c r="D437">
        <v>3.3799999999999997E-2</v>
      </c>
      <c r="E437">
        <v>5.6288999999999998</v>
      </c>
      <c r="F437">
        <v>1.55E-2</v>
      </c>
      <c r="G437">
        <v>6.9800000000000001E-2</v>
      </c>
      <c r="H437">
        <v>0</v>
      </c>
      <c r="I437">
        <v>-0.74790000000000001</v>
      </c>
      <c r="J437">
        <v>1.6978E-3</v>
      </c>
      <c r="K437">
        <v>-440.48840000000001</v>
      </c>
      <c r="L437" s="26">
        <v>4.9299999999999995E-10</v>
      </c>
      <c r="M437" s="26">
        <v>2.61E-13</v>
      </c>
      <c r="N437" s="26">
        <v>3.9599999999999998E-13</v>
      </c>
      <c r="O437" s="26">
        <v>2.7599999999999999E-13</v>
      </c>
      <c r="P437" s="26">
        <v>5.8799999999999999E-14</v>
      </c>
      <c r="Q437" s="26">
        <v>3.7700000000000003E-11</v>
      </c>
    </row>
    <row r="438" spans="1:17" x14ac:dyDescent="0.3">
      <c r="A438" t="s">
        <v>482</v>
      </c>
      <c r="B438">
        <v>93.281000000000006</v>
      </c>
      <c r="C438">
        <v>7.9899999999999999E-2</v>
      </c>
      <c r="D438">
        <v>3.3700000000000001E-2</v>
      </c>
      <c r="E438">
        <v>6.5144000000000002</v>
      </c>
      <c r="F438">
        <v>1.4E-2</v>
      </c>
      <c r="G438">
        <v>7.6999999999999999E-2</v>
      </c>
      <c r="H438">
        <v>0</v>
      </c>
      <c r="I438">
        <v>-1.593</v>
      </c>
      <c r="J438" s="26">
        <v>-7.4400000000000006E-5</v>
      </c>
      <c r="K438">
        <v>21400.36</v>
      </c>
      <c r="L438" s="26">
        <v>4.8599999999999998E-10</v>
      </c>
      <c r="M438" s="26">
        <v>2.8599999999999999E-13</v>
      </c>
      <c r="N438" s="26">
        <v>3.9700000000000002E-13</v>
      </c>
      <c r="O438" s="26">
        <v>2.7399999999999999E-13</v>
      </c>
      <c r="P438" s="26">
        <v>5.81E-14</v>
      </c>
      <c r="Q438" s="26">
        <v>4.34E-11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A6900-D412-46B0-83A6-D67E376BCA65}">
  <dimension ref="B1:BM60"/>
  <sheetViews>
    <sheetView topLeftCell="AF2" workbookViewId="0">
      <selection activeCell="AG2" sqref="A2:XFD30"/>
    </sheetView>
  </sheetViews>
  <sheetFormatPr defaultRowHeight="14.4" x14ac:dyDescent="0.3"/>
  <cols>
    <col min="1" max="1" width="0" hidden="1" customWidth="1"/>
    <col min="2" max="2" width="9.33203125" hidden="1" customWidth="1"/>
    <col min="3" max="3" width="15.5546875" hidden="1" customWidth="1"/>
    <col min="4" max="4" width="9.33203125" hidden="1" customWidth="1"/>
    <col min="5" max="5" width="9.5546875" hidden="1" customWidth="1"/>
    <col min="6" max="7" width="9.33203125" hidden="1" customWidth="1"/>
    <col min="8" max="8" width="9.5546875" hidden="1" customWidth="1"/>
    <col min="9" max="14" width="9.33203125" hidden="1" customWidth="1"/>
    <col min="15" max="15" width="9.5546875" hidden="1" customWidth="1"/>
    <col min="16" max="31" width="9.33203125" hidden="1" customWidth="1"/>
    <col min="32" max="32" width="30" bestFit="1" customWidth="1"/>
    <col min="33" max="33" width="15.109375" bestFit="1" customWidth="1"/>
    <col min="34" max="34" width="8.5546875" hidden="1" customWidth="1"/>
    <col min="35" max="35" width="5" hidden="1" customWidth="1"/>
    <col min="36" max="36" width="15.109375" hidden="1" customWidth="1"/>
    <col min="37" max="37" width="16.33203125" hidden="1" customWidth="1"/>
    <col min="38" max="38" width="0" hidden="1" customWidth="1"/>
  </cols>
  <sheetData>
    <row r="1" spans="2:65" hidden="1" x14ac:dyDescent="0.3">
      <c r="AM1">
        <v>0.01</v>
      </c>
    </row>
    <row r="2" spans="2:65" s="28" customFormat="1" x14ac:dyDescent="0.3">
      <c r="E2" s="28">
        <v>1</v>
      </c>
      <c r="F2" s="28">
        <v>2</v>
      </c>
      <c r="G2" s="28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8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M2" s="35" t="s">
        <v>1</v>
      </c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7"/>
    </row>
    <row r="3" spans="2:65" s="28" customFormat="1" x14ac:dyDescent="0.3">
      <c r="B3" s="28" t="s">
        <v>483</v>
      </c>
      <c r="C3" s="28" t="s">
        <v>484</v>
      </c>
      <c r="E3" s="28" t="s">
        <v>485</v>
      </c>
      <c r="F3" s="28" t="s">
        <v>485</v>
      </c>
      <c r="G3" s="28" t="s">
        <v>485</v>
      </c>
      <c r="H3" s="28" t="s">
        <v>485</v>
      </c>
      <c r="I3" s="28" t="s">
        <v>485</v>
      </c>
      <c r="J3" s="28" t="s">
        <v>485</v>
      </c>
      <c r="K3" s="28" t="s">
        <v>485</v>
      </c>
      <c r="L3" s="28" t="s">
        <v>485</v>
      </c>
      <c r="M3" s="28" t="s">
        <v>485</v>
      </c>
      <c r="N3" s="28" t="s">
        <v>485</v>
      </c>
      <c r="O3" s="28" t="s">
        <v>485</v>
      </c>
      <c r="P3" s="28" t="s">
        <v>485</v>
      </c>
      <c r="Q3" s="28" t="s">
        <v>485</v>
      </c>
      <c r="R3" s="28" t="s">
        <v>485</v>
      </c>
      <c r="S3" s="28" t="s">
        <v>485</v>
      </c>
      <c r="T3" s="28" t="s">
        <v>485</v>
      </c>
      <c r="U3" s="28" t="s">
        <v>485</v>
      </c>
      <c r="W3" s="28" t="s">
        <v>485</v>
      </c>
      <c r="X3" s="28" t="s">
        <v>485</v>
      </c>
      <c r="Y3" s="28" t="s">
        <v>485</v>
      </c>
      <c r="Z3" s="28" t="s">
        <v>485</v>
      </c>
      <c r="AB3" s="28" t="s">
        <v>485</v>
      </c>
      <c r="AC3" s="28" t="s">
        <v>485</v>
      </c>
      <c r="AD3" s="28" t="s">
        <v>485</v>
      </c>
      <c r="AE3" s="28" t="s">
        <v>485</v>
      </c>
      <c r="AF3" s="29" t="s">
        <v>486</v>
      </c>
      <c r="AG3" s="29" t="s">
        <v>541</v>
      </c>
      <c r="AH3" s="28" t="s">
        <v>487</v>
      </c>
      <c r="AI3" s="28" t="s">
        <v>488</v>
      </c>
      <c r="AJ3" s="28" t="s">
        <v>489</v>
      </c>
      <c r="AK3" s="28" t="s">
        <v>490</v>
      </c>
      <c r="AM3" s="29" t="s">
        <v>536</v>
      </c>
      <c r="AN3" s="29">
        <v>0</v>
      </c>
      <c r="AO3" s="29">
        <v>0.5</v>
      </c>
      <c r="AP3" s="29">
        <v>1</v>
      </c>
      <c r="AQ3" s="29">
        <v>1.5</v>
      </c>
      <c r="AR3" s="29">
        <v>2</v>
      </c>
      <c r="AS3" s="29">
        <v>2.5</v>
      </c>
      <c r="AT3" s="29">
        <v>3</v>
      </c>
      <c r="AU3" s="29">
        <v>3.5</v>
      </c>
      <c r="AV3" s="29">
        <v>4</v>
      </c>
      <c r="AW3" s="29">
        <v>4.5</v>
      </c>
      <c r="AX3" s="29">
        <v>5</v>
      </c>
      <c r="AY3" s="29">
        <v>5.5</v>
      </c>
      <c r="AZ3" s="29">
        <v>6</v>
      </c>
      <c r="BA3" s="29">
        <v>6.5</v>
      </c>
      <c r="BB3" s="29">
        <v>7</v>
      </c>
      <c r="BC3" s="29">
        <v>7.5</v>
      </c>
      <c r="BD3" s="29">
        <v>8</v>
      </c>
      <c r="BE3" s="29">
        <v>8.5</v>
      </c>
      <c r="BF3" s="29">
        <v>9</v>
      </c>
      <c r="BG3" s="29">
        <v>9.5</v>
      </c>
      <c r="BH3" s="29">
        <v>10</v>
      </c>
      <c r="BI3" s="29">
        <v>10.5</v>
      </c>
      <c r="BJ3" s="29">
        <v>11</v>
      </c>
      <c r="BK3" s="29">
        <v>11.5</v>
      </c>
      <c r="BL3" s="29">
        <v>12</v>
      </c>
      <c r="BM3" s="29">
        <v>12.5</v>
      </c>
    </row>
    <row r="4" spans="2:65" x14ac:dyDescent="0.3">
      <c r="B4">
        <v>1</v>
      </c>
      <c r="C4">
        <v>8.4610000000000003</v>
      </c>
      <c r="D4">
        <v>8.4559999999999995</v>
      </c>
      <c r="E4">
        <v>1.9981600000000001E-4</v>
      </c>
      <c r="F4">
        <v>4.6523499999999999E-4</v>
      </c>
      <c r="G4">
        <v>4.1070599999999999E-4</v>
      </c>
      <c r="H4">
        <v>2.2382700000000001E-3</v>
      </c>
      <c r="I4">
        <v>3.9146500000000002E-4</v>
      </c>
      <c r="J4">
        <v>3.85972E-4</v>
      </c>
      <c r="K4">
        <v>4.3805100000000001E-4</v>
      </c>
      <c r="L4">
        <v>1.9484400000000001E-3</v>
      </c>
      <c r="M4">
        <v>1.6995599999999999E-3</v>
      </c>
      <c r="N4">
        <v>4.7573399999999997E-3</v>
      </c>
      <c r="O4">
        <v>6.0298399999999999E-3</v>
      </c>
      <c r="P4">
        <v>1.00146E-2</v>
      </c>
      <c r="Q4">
        <v>1.26549E-2</v>
      </c>
      <c r="R4">
        <v>2.6584199999999999E-2</v>
      </c>
      <c r="S4">
        <v>2.5211899999999999E-2</v>
      </c>
      <c r="T4">
        <v>4.0563500000000002E-2</v>
      </c>
      <c r="U4">
        <v>0.101269</v>
      </c>
      <c r="V4">
        <v>5.7142600000000002E-2</v>
      </c>
      <c r="W4">
        <v>1.42115E-2</v>
      </c>
      <c r="X4">
        <v>3.29138E-3</v>
      </c>
      <c r="Y4">
        <v>5.59163E-4</v>
      </c>
      <c r="Z4">
        <v>3.97654E-4</v>
      </c>
      <c r="AA4">
        <v>2.81716E-4</v>
      </c>
      <c r="AB4">
        <v>3.08757E-4</v>
      </c>
      <c r="AC4">
        <v>3.2244700000000001E-4</v>
      </c>
      <c r="AD4">
        <v>3.0932099999999999E-4</v>
      </c>
      <c r="AE4">
        <v>3.3289799999999998E-4</v>
      </c>
      <c r="AF4" t="s">
        <v>491</v>
      </c>
      <c r="AG4" t="s">
        <v>492</v>
      </c>
      <c r="AH4">
        <v>1</v>
      </c>
      <c r="AI4" t="s">
        <v>493</v>
      </c>
      <c r="AJ4">
        <v>1</v>
      </c>
      <c r="AK4">
        <v>1</v>
      </c>
      <c r="AM4">
        <f t="shared" ref="AM4:AM30" si="0">IF((E4*$X$35*($AH$30/$AH4)/$AK4)&gt;$AM$1,(E4*$X$35*($AH$30/$AH4)/$AK4),0)</f>
        <v>0</v>
      </c>
      <c r="AN4">
        <f t="shared" ref="AN4:AN30" si="1">IF((F4*$X$35*($AH$30/$AH4)/$AK4)&gt;$AM$1,(F4*$X$35*($AH$30/$AH4)/$AK4),0)</f>
        <v>2.0234355919969506E-2</v>
      </c>
      <c r="AO4">
        <f t="shared" ref="AO4:AO30" si="2">IF((G4*$X$35*($AH$30/$AH4)/$AK4)&gt;$AM$1,(G4*$X$35*($AH$30/$AH4)/$AK4),0)</f>
        <v>1.7862739008172205E-2</v>
      </c>
      <c r="AP4">
        <f t="shared" ref="AP4:AP30" si="3">IF((H4*$X$35*($AH$30/$AH4)/$AK4)&gt;$AM$1,(H4*$X$35*($AH$30/$AH4)/$AK4),0)</f>
        <v>9.7348548206799015E-2</v>
      </c>
      <c r="AQ4">
        <f t="shared" ref="AQ4:AQ30" si="4">IF((I4*$X$35*($AH$30/$AH4)/$AK4)&gt;$AM$1,(I4*$X$35*($AH$30/$AH4)/$AK4),0)</f>
        <v>1.7025894741820504E-2</v>
      </c>
      <c r="AR4">
        <f t="shared" ref="AR4:AR30" si="5">IF((J4*$X$35*($AH$30/$AH4)/$AK4)&gt;$AM$1,(J4*$X$35*($AH$30/$AH4)/$AK4),0)</f>
        <v>1.6786988990816404E-2</v>
      </c>
      <c r="AS4">
        <f t="shared" ref="AS4:AS30" si="6">IF((K4*$X$35*($AH$30/$AH4)/$AK4)&gt;$AM$1,(K4*$X$35*($AH$30/$AH4)/$AK4),0)</f>
        <v>1.9052048631548704E-2</v>
      </c>
      <c r="AT4">
        <f t="shared" ref="AT4:AT30" si="7">IF((L4*$X$35*($AH$30/$AH4)/$AK4)&gt;$AM$1,(L4*$X$35*($AH$30/$AH4)/$AK4),0)</f>
        <v>8.4743040503628006E-2</v>
      </c>
      <c r="AU4">
        <f t="shared" ref="AU4:AU30" si="8">IF((M4*$X$35*($AH$30/$AH4)/$AK4)&gt;$AM$1,(M4*$X$35*($AH$30/$AH4)/$AK4),0)</f>
        <v>7.3918561473972008E-2</v>
      </c>
      <c r="AV4">
        <f t="shared" ref="AV4:AV30" si="9">IF((N4*$X$35*($AH$30/$AH4)/$AK4)&gt;$AM$1,(N4*$X$35*($AH$30/$AH4)/$AK4),0)</f>
        <v>0.20690986446055801</v>
      </c>
      <c r="AW4">
        <f t="shared" ref="AW4:AW30" si="10">IF((O4*$X$35*($AH$30/$AH4)/$AK4)&gt;$AM$1,(O4*$X$35*($AH$30/$AH4)/$AK4),0)</f>
        <v>0.26225440626880803</v>
      </c>
      <c r="AX4">
        <f t="shared" ref="AX4:AX30" si="11">IF((P4*$X$35*($AH$30/$AH4)/$AK4)&gt;$AM$1,(P4*$X$35*($AH$30/$AH4)/$AK4),0)</f>
        <v>0.4355626313500201</v>
      </c>
      <c r="AY4">
        <f t="shared" ref="AY4:AY30" si="12">IF((Q4*$X$35*($AH$30/$AH4)/$AK4)&gt;$AM$1,(Q4*$X$35*($AH$30/$AH4)/$AK4),0)</f>
        <v>0.55039657534713016</v>
      </c>
      <c r="AZ4">
        <f t="shared" ref="AZ4:AZ30" si="13">IF((R4*$X$35*($AH$30/$AH4)/$AK4)&gt;$AM$1,(R4*$X$35*($AH$30/$AH4)/$AK4),0)</f>
        <v>1.1562203287535402</v>
      </c>
      <c r="BA4">
        <f t="shared" ref="BA4:BA30" si="14">IF((S4*$X$35*($AH$30/$AH4)/$AK4)&gt;$AM$1,(S4*$X$35*($AH$30/$AH4)/$AK4),0)</f>
        <v>1.09653520912803</v>
      </c>
      <c r="BB4">
        <f t="shared" ref="BB4:BB30" si="15">IF((T4*$X$35*($AH$30/$AH4)/$AK4)&gt;$AM$1,(T4*$X$35*($AH$30/$AH4)/$AK4),0)</f>
        <v>1.7642187203449504</v>
      </c>
      <c r="BC4">
        <f t="shared" ref="BC4:BC30" si="16">IF((U4*$X$35*($AH$30/$AH4)/$AK4)&gt;$AM$1,(U4*$X$35*($AH$30/$AH4)/$AK4),0)</f>
        <v>4.4044686871353012</v>
      </c>
      <c r="BD4">
        <f t="shared" ref="BD4:BD30" si="17">IF((V4*$X$35*($AH$30/$AH4)/$AK4)&gt;$AM$1,(V4*$X$35*($AH$30/$AH4)/$AK4),0)</f>
        <v>2.4852895990036208</v>
      </c>
      <c r="BE4">
        <f t="shared" ref="BE4:BE30" si="18">IF((W4*$X$35*($AH$30/$AH4)/$AK4)&gt;$AM$1,(W4*$X$35*($AH$30/$AH4)/$AK4),0)</f>
        <v>0.61809741132255014</v>
      </c>
      <c r="BF4">
        <f t="shared" ref="BF4:BF30" si="19">IF((X4*$X$35*($AH$30/$AH4)/$AK4)&gt;$AM$1,(X4*$X$35*($AH$30/$AH4)/$AK4),0)</f>
        <v>0.14315121258690602</v>
      </c>
      <c r="BG4">
        <f t="shared" ref="BG4:BG30" si="20">IF((Y4*$X$35*($AH$30/$AH4)/$AK4)&gt;$AM$1,(Y4*$X$35*($AH$30/$AH4)/$AK4),0)</f>
        <v>2.4319544228783102E-2</v>
      </c>
      <c r="BH4">
        <f t="shared" ref="BH4:BH30" si="21">IF((Z4*$X$35*($AH$30/$AH4)/$AK4)&gt;$AM$1,(Z4*$X$35*($AH$30/$AH4)/$AK4),0)</f>
        <v>1.7295071456359803E-2</v>
      </c>
      <c r="BI4">
        <f t="shared" ref="BI4:BI30" si="22">IF((AA4*$X$35*($AH$30/$AH4)/$AK4)&gt;$AM$1,(AA4*$X$35*($AH$30/$AH4)/$AK4),0)</f>
        <v>1.2252607418509202E-2</v>
      </c>
      <c r="BJ4">
        <f t="shared" ref="BJ4:BJ30" si="23">IF((AB4*$X$35*($AH$30/$AH4)/$AK4)&gt;$AM$1,(AB4*$X$35*($AH$30/$AH4)/$AK4),0)</f>
        <v>1.3428695241720903E-2</v>
      </c>
      <c r="BK4">
        <f t="shared" ref="BK4:BK30" si="24">IF((AC4*$X$35*($AH$30/$AH4)/$AK4)&gt;$AM$1,(AC4*$X$35*($AH$30/$AH4)/$AK4),0)</f>
        <v>1.4024111176773903E-2</v>
      </c>
      <c r="BL4">
        <f t="shared" ref="BL4:BL30" si="25">IF((AD4*$X$35*($AH$30/$AH4)/$AK4)&gt;$AM$1,(AD4*$X$35*($AH$30/$AH4)/$AK4),0)</f>
        <v>1.3453225160447703E-2</v>
      </c>
      <c r="BM4">
        <f t="shared" ref="BM4:BM30" si="26">IF((AE4*$X$35*($AH$30/$AH4)/$AK4)&gt;$AM$1,(AE4*$X$35*($AH$30/$AH4)/$AK4),0)</f>
        <v>1.4478654050202601E-2</v>
      </c>
    </row>
    <row r="5" spans="2:65" x14ac:dyDescent="0.3">
      <c r="B5">
        <v>2</v>
      </c>
      <c r="C5">
        <v>7.5579999999999998</v>
      </c>
      <c r="D5">
        <v>7.53</v>
      </c>
      <c r="E5">
        <v>3.56039E-4</v>
      </c>
      <c r="F5">
        <v>4.1345800000000001E-4</v>
      </c>
      <c r="G5">
        <v>2.0874500000000001E-4</v>
      </c>
      <c r="H5">
        <v>1.5007900000000001E-4</v>
      </c>
      <c r="I5">
        <v>1.8631400000000001E-4</v>
      </c>
      <c r="J5">
        <v>2.8676800000000002E-4</v>
      </c>
      <c r="K5">
        <v>2.4521200000000002E-4</v>
      </c>
      <c r="L5">
        <v>3.15798E-4</v>
      </c>
      <c r="M5">
        <v>1.76539E-4</v>
      </c>
      <c r="N5">
        <v>2.7266299999999997E-4</v>
      </c>
      <c r="O5">
        <v>2.9899899999999999E-4</v>
      </c>
      <c r="P5">
        <v>2.95357E-4</v>
      </c>
      <c r="Q5">
        <v>4.3748099999999998E-4</v>
      </c>
      <c r="R5">
        <v>5.0412799999999995E-4</v>
      </c>
      <c r="S5">
        <v>6.8688500000000003E-4</v>
      </c>
      <c r="T5">
        <v>1.0030600000000001E-3</v>
      </c>
      <c r="U5">
        <v>1.6647599999999999E-3</v>
      </c>
      <c r="V5">
        <v>1.5292999999999999E-3</v>
      </c>
      <c r="W5">
        <v>6.5889099999999999E-3</v>
      </c>
      <c r="X5">
        <v>8.1706399999999998E-3</v>
      </c>
      <c r="Y5">
        <v>9.2313599999999992E-3</v>
      </c>
      <c r="Z5">
        <v>1.15622E-2</v>
      </c>
      <c r="AA5">
        <v>1.2228599999999999E-2</v>
      </c>
      <c r="AB5">
        <v>1.23532E-2</v>
      </c>
      <c r="AC5">
        <v>1.41624E-2</v>
      </c>
      <c r="AD5">
        <v>1.52018E-2</v>
      </c>
      <c r="AE5">
        <v>1.5565600000000001E-2</v>
      </c>
      <c r="AF5" t="s">
        <v>494</v>
      </c>
      <c r="AG5" t="s">
        <v>495</v>
      </c>
      <c r="AH5">
        <v>1</v>
      </c>
      <c r="AI5" t="s">
        <v>496</v>
      </c>
      <c r="AJ5" t="s">
        <v>497</v>
      </c>
      <c r="AK5">
        <v>1</v>
      </c>
      <c r="AM5">
        <f t="shared" si="0"/>
        <v>1.5485120094984301E-2</v>
      </c>
      <c r="AN5">
        <f t="shared" si="1"/>
        <v>1.7982431093874603E-2</v>
      </c>
      <c r="AO5">
        <f t="shared" si="2"/>
        <v>0</v>
      </c>
      <c r="AP5">
        <f t="shared" si="3"/>
        <v>0</v>
      </c>
      <c r="AQ5">
        <f t="shared" si="4"/>
        <v>0</v>
      </c>
      <c r="AR5">
        <f t="shared" si="5"/>
        <v>1.2472332860721604E-2</v>
      </c>
      <c r="AS5">
        <f t="shared" si="6"/>
        <v>1.0664947572404404E-2</v>
      </c>
      <c r="AT5">
        <f t="shared" si="7"/>
        <v>1.3734927790932603E-2</v>
      </c>
      <c r="AU5">
        <f t="shared" si="8"/>
        <v>0</v>
      </c>
      <c r="AV5">
        <f t="shared" si="9"/>
        <v>1.1858867428733101E-2</v>
      </c>
      <c r="AW5">
        <f t="shared" si="10"/>
        <v>1.3004292853536301E-2</v>
      </c>
      <c r="AX5">
        <f t="shared" si="11"/>
        <v>1.2845892208140901E-2</v>
      </c>
      <c r="AY5">
        <f t="shared" si="12"/>
        <v>1.9027257756239702E-2</v>
      </c>
      <c r="AZ5">
        <f t="shared" si="13"/>
        <v>2.1925919978553601E-2</v>
      </c>
      <c r="BA5">
        <f t="shared" si="14"/>
        <v>2.9874526994074509E-2</v>
      </c>
      <c r="BB5">
        <f t="shared" si="15"/>
        <v>4.3625851556922009E-2</v>
      </c>
      <c r="BC5">
        <f t="shared" si="16"/>
        <v>7.2405013297212009E-2</v>
      </c>
      <c r="BD5">
        <f t="shared" si="17"/>
        <v>6.6513483526410011E-2</v>
      </c>
      <c r="BE5">
        <f t="shared" si="18"/>
        <v>0.28656990567056706</v>
      </c>
      <c r="BF5">
        <f t="shared" si="19"/>
        <v>0.35536371479776807</v>
      </c>
      <c r="BG5">
        <f t="shared" si="20"/>
        <v>0.40149735910963202</v>
      </c>
      <c r="BH5">
        <f t="shared" si="21"/>
        <v>0.50287203245214007</v>
      </c>
      <c r="BI5">
        <f t="shared" si="22"/>
        <v>0.53185561018182004</v>
      </c>
      <c r="BJ5">
        <f t="shared" si="23"/>
        <v>0.53727480853884013</v>
      </c>
      <c r="BK5">
        <f t="shared" si="24"/>
        <v>0.6159619166248802</v>
      </c>
      <c r="BL5">
        <f t="shared" si="25"/>
        <v>0.66116829521466014</v>
      </c>
      <c r="BM5">
        <f t="shared" si="26"/>
        <v>0.67699096264872016</v>
      </c>
    </row>
    <row r="6" spans="2:65" hidden="1" x14ac:dyDescent="0.3">
      <c r="B6">
        <v>3</v>
      </c>
      <c r="C6">
        <v>7.1619999999999999</v>
      </c>
      <c r="D6">
        <v>7.13</v>
      </c>
      <c r="E6">
        <v>1.8232900000000001E-4</v>
      </c>
      <c r="F6">
        <v>1.3833199999999999E-4</v>
      </c>
      <c r="G6">
        <v>1.71094E-4</v>
      </c>
      <c r="H6">
        <v>1.7570500000000001E-4</v>
      </c>
      <c r="I6">
        <v>1.7133799999999999E-4</v>
      </c>
      <c r="J6">
        <v>1.97775E-4</v>
      </c>
      <c r="K6">
        <v>2.3561599999999999E-4</v>
      </c>
      <c r="L6">
        <v>3.2968E-4</v>
      </c>
      <c r="M6">
        <v>1.9877E-4</v>
      </c>
      <c r="N6">
        <v>2.7333499999999998E-4</v>
      </c>
      <c r="O6">
        <v>3.1371399999999999E-4</v>
      </c>
      <c r="P6">
        <v>2.5929000000000002E-4</v>
      </c>
      <c r="Q6">
        <v>3.9146999999999999E-4</v>
      </c>
      <c r="R6">
        <v>4.2441899999999999E-4</v>
      </c>
      <c r="S6">
        <v>6.7031299999999996E-4</v>
      </c>
      <c r="T6">
        <v>8.3830000000000005E-4</v>
      </c>
      <c r="U6">
        <v>1.13284E-3</v>
      </c>
      <c r="V6">
        <v>1.0937200000000001E-3</v>
      </c>
      <c r="W6">
        <v>1.2256599999999999E-3</v>
      </c>
      <c r="X6">
        <v>1.9504100000000001E-3</v>
      </c>
      <c r="Y6">
        <v>2.4369000000000001E-3</v>
      </c>
      <c r="Z6">
        <v>2.6614400000000002E-3</v>
      </c>
      <c r="AA6">
        <v>2.18527E-3</v>
      </c>
      <c r="AB6">
        <v>1.5593E-3</v>
      </c>
      <c r="AC6">
        <v>1.6569600000000001E-3</v>
      </c>
      <c r="AD6">
        <v>1.3277300000000001E-3</v>
      </c>
      <c r="AE6">
        <v>1.1185399999999999E-3</v>
      </c>
      <c r="AF6" t="s">
        <v>498</v>
      </c>
      <c r="AH6">
        <v>1</v>
      </c>
      <c r="AK6">
        <v>1</v>
      </c>
      <c r="AM6">
        <f t="shared" si="0"/>
        <v>0</v>
      </c>
      <c r="AN6">
        <f t="shared" si="1"/>
        <v>0</v>
      </c>
      <c r="AO6">
        <f t="shared" si="2"/>
        <v>0</v>
      </c>
      <c r="AP6">
        <f t="shared" si="3"/>
        <v>0</v>
      </c>
      <c r="AQ6">
        <f t="shared" si="4"/>
        <v>0</v>
      </c>
      <c r="AR6">
        <f t="shared" si="5"/>
        <v>0</v>
      </c>
      <c r="AS6">
        <f t="shared" si="6"/>
        <v>1.0247591011939202E-2</v>
      </c>
      <c r="AT6">
        <f t="shared" si="7"/>
        <v>1.4338694336616003E-2</v>
      </c>
      <c r="AU6">
        <f t="shared" si="8"/>
        <v>0</v>
      </c>
      <c r="AV6">
        <f t="shared" si="9"/>
        <v>1.1888094565939502E-2</v>
      </c>
      <c r="AW6">
        <f t="shared" si="10"/>
        <v>1.3644288871381801E-2</v>
      </c>
      <c r="AX6">
        <f t="shared" si="11"/>
        <v>1.1277238699773002E-2</v>
      </c>
      <c r="AY6">
        <f t="shared" si="12"/>
        <v>1.7026112205639002E-2</v>
      </c>
      <c r="AZ6">
        <f t="shared" si="13"/>
        <v>1.8459155276790304E-2</v>
      </c>
      <c r="BA6">
        <f t="shared" si="14"/>
        <v>2.9153764914038101E-2</v>
      </c>
      <c r="BB6">
        <f t="shared" si="15"/>
        <v>3.6459983809710009E-2</v>
      </c>
      <c r="BC6">
        <f t="shared" si="16"/>
        <v>4.9270342429908014E-2</v>
      </c>
      <c r="BD6">
        <f t="shared" si="17"/>
        <v>4.7568905513964012E-2</v>
      </c>
      <c r="BE6">
        <f t="shared" si="18"/>
        <v>5.3307340756542011E-2</v>
      </c>
      <c r="BF6">
        <f t="shared" si="19"/>
        <v>8.4828721248117023E-2</v>
      </c>
      <c r="BG6">
        <f t="shared" si="20"/>
        <v>0.10598751586053003</v>
      </c>
      <c r="BH6">
        <f t="shared" si="21"/>
        <v>0.11575338102172802</v>
      </c>
      <c r="BI6">
        <f t="shared" si="22"/>
        <v>9.5043431730699013E-2</v>
      </c>
      <c r="BJ6">
        <f t="shared" si="23"/>
        <v>6.7818266437410013E-2</v>
      </c>
      <c r="BK6">
        <f t="shared" si="24"/>
        <v>7.2065769740352004E-2</v>
      </c>
      <c r="BL6">
        <f t="shared" si="25"/>
        <v>5.7746647147401013E-2</v>
      </c>
      <c r="BM6">
        <f t="shared" si="26"/>
        <v>4.8648395908998006E-2</v>
      </c>
    </row>
    <row r="7" spans="2:65" hidden="1" x14ac:dyDescent="0.3">
      <c r="B7">
        <v>4</v>
      </c>
      <c r="C7">
        <v>6.9119999999999999</v>
      </c>
      <c r="D7">
        <v>6.8819999999999997</v>
      </c>
      <c r="E7">
        <v>1.37801E-4</v>
      </c>
      <c r="F7">
        <v>3.0522200000000001E-4</v>
      </c>
      <c r="G7">
        <v>1.9645099999999999E-4</v>
      </c>
      <c r="H7">
        <v>3.2090800000000001E-4</v>
      </c>
      <c r="I7">
        <v>2.6183400000000001E-4</v>
      </c>
      <c r="J7">
        <v>3.8696799999999999E-5</v>
      </c>
      <c r="K7">
        <v>2.7129399999999999E-4</v>
      </c>
      <c r="L7">
        <v>2.7874099999999999E-4</v>
      </c>
      <c r="M7">
        <v>2.4391899999999999E-4</v>
      </c>
      <c r="N7">
        <v>2.5209499999999998E-4</v>
      </c>
      <c r="O7">
        <v>3.51057E-4</v>
      </c>
      <c r="P7">
        <v>3.66327E-4</v>
      </c>
      <c r="Q7">
        <v>4.1102499999999998E-4</v>
      </c>
      <c r="R7">
        <v>4.29901E-4</v>
      </c>
      <c r="S7">
        <v>6.71665E-4</v>
      </c>
      <c r="T7">
        <v>9.4331999999999999E-4</v>
      </c>
      <c r="U7">
        <v>1.1506999999999999E-3</v>
      </c>
      <c r="V7">
        <v>1.0330700000000001E-3</v>
      </c>
      <c r="W7">
        <v>1.42106E-3</v>
      </c>
      <c r="X7">
        <v>2.29853E-3</v>
      </c>
      <c r="Y7">
        <v>3.09217E-3</v>
      </c>
      <c r="Z7">
        <v>3.2800799999999999E-3</v>
      </c>
      <c r="AA7">
        <v>3.0478200000000001E-3</v>
      </c>
      <c r="AB7">
        <v>2.8830100000000001E-3</v>
      </c>
      <c r="AC7">
        <v>2.86945E-3</v>
      </c>
      <c r="AD7">
        <v>3.1538199999999999E-3</v>
      </c>
      <c r="AE7">
        <v>3.4169000000000001E-3</v>
      </c>
      <c r="AF7" t="s">
        <v>498</v>
      </c>
      <c r="AH7">
        <v>1</v>
      </c>
      <c r="AK7">
        <v>1</v>
      </c>
      <c r="AM7">
        <f t="shared" si="0"/>
        <v>0</v>
      </c>
      <c r="AN7">
        <f t="shared" si="1"/>
        <v>1.3274948322041404E-2</v>
      </c>
      <c r="AO7">
        <f t="shared" si="2"/>
        <v>0</v>
      </c>
      <c r="AP7">
        <f t="shared" si="3"/>
        <v>1.3957175813439603E-2</v>
      </c>
      <c r="AQ7">
        <f t="shared" si="4"/>
        <v>1.1387884290625802E-2</v>
      </c>
      <c r="AR7">
        <f t="shared" si="5"/>
        <v>0</v>
      </c>
      <c r="AS7">
        <f t="shared" si="6"/>
        <v>1.1799325835227801E-2</v>
      </c>
      <c r="AT7">
        <f t="shared" si="7"/>
        <v>1.2123216446501701E-2</v>
      </c>
      <c r="AU7">
        <f t="shared" si="8"/>
        <v>1.0608711428940302E-2</v>
      </c>
      <c r="AV7">
        <f t="shared" si="9"/>
        <v>1.0964308264951501E-2</v>
      </c>
      <c r="AW7">
        <f t="shared" si="10"/>
        <v>1.5268439146230902E-2</v>
      </c>
      <c r="AX7">
        <f t="shared" si="11"/>
        <v>1.5932573647929903E-2</v>
      </c>
      <c r="AY7">
        <f t="shared" si="12"/>
        <v>1.7876613199792502E-2</v>
      </c>
      <c r="AZ7">
        <f t="shared" si="13"/>
        <v>1.8697582607393702E-2</v>
      </c>
      <c r="BA7">
        <f t="shared" si="14"/>
        <v>2.9212567130560505E-2</v>
      </c>
      <c r="BB7">
        <f t="shared" si="15"/>
        <v>4.1027593853484007E-2</v>
      </c>
      <c r="BC7">
        <f t="shared" si="16"/>
        <v>5.0047123189590009E-2</v>
      </c>
      <c r="BD7">
        <f t="shared" si="17"/>
        <v>4.4931069395559013E-2</v>
      </c>
      <c r="BE7">
        <f t="shared" si="18"/>
        <v>6.1805826783522012E-2</v>
      </c>
      <c r="BF7">
        <f t="shared" si="19"/>
        <v>9.9969422147361015E-2</v>
      </c>
      <c r="BG7">
        <f t="shared" si="20"/>
        <v>0.13448701913022904</v>
      </c>
      <c r="BH7">
        <f t="shared" si="21"/>
        <v>0.14265974435709602</v>
      </c>
      <c r="BI7">
        <f t="shared" si="22"/>
        <v>0.13255811506013401</v>
      </c>
      <c r="BJ7">
        <f t="shared" si="23"/>
        <v>0.12539007267473704</v>
      </c>
      <c r="BK7">
        <f t="shared" si="24"/>
        <v>0.12480031079896503</v>
      </c>
      <c r="BL7">
        <f t="shared" si="25"/>
        <v>0.13716834801233402</v>
      </c>
      <c r="BM7">
        <f t="shared" si="26"/>
        <v>0.14861042428653004</v>
      </c>
    </row>
    <row r="8" spans="2:65" x14ac:dyDescent="0.3">
      <c r="B8">
        <v>5</v>
      </c>
      <c r="C8">
        <v>6.3730000000000002</v>
      </c>
      <c r="D8">
        <v>6.3659999999999997</v>
      </c>
      <c r="E8">
        <v>3.1198499999999999E-6</v>
      </c>
      <c r="F8">
        <v>1.60385E-4</v>
      </c>
      <c r="G8">
        <v>3.2658999999999997E-4</v>
      </c>
      <c r="H8">
        <v>3.7730000000000001E-4</v>
      </c>
      <c r="I8">
        <v>4.3402099999999998E-4</v>
      </c>
      <c r="J8">
        <v>4.68138E-4</v>
      </c>
      <c r="K8">
        <v>4.58271E-4</v>
      </c>
      <c r="L8">
        <v>5.20767E-4</v>
      </c>
      <c r="M8">
        <v>5.0478199999999995E-4</v>
      </c>
      <c r="N8">
        <v>5.1619999999999997E-4</v>
      </c>
      <c r="O8">
        <v>5.6050299999999996E-4</v>
      </c>
      <c r="P8">
        <v>5.5924600000000001E-4</v>
      </c>
      <c r="Q8">
        <v>5.9301199999999997E-4</v>
      </c>
      <c r="R8">
        <v>6.1890999999999997E-4</v>
      </c>
      <c r="S8">
        <v>7.2776600000000002E-4</v>
      </c>
      <c r="T8">
        <v>7.4781499999999998E-4</v>
      </c>
      <c r="U8">
        <v>9.6138599999999995E-4</v>
      </c>
      <c r="V8">
        <v>8.3669099999999998E-4</v>
      </c>
      <c r="W8">
        <v>1.86381E-3</v>
      </c>
      <c r="X8">
        <v>2.03039E-3</v>
      </c>
      <c r="Y8">
        <v>1.9791800000000001E-3</v>
      </c>
      <c r="Z8">
        <v>2.0766999999999999E-3</v>
      </c>
      <c r="AA8">
        <v>1.80993E-3</v>
      </c>
      <c r="AB8">
        <v>1.5470200000000001E-3</v>
      </c>
      <c r="AC8">
        <v>1.81291E-3</v>
      </c>
      <c r="AD8">
        <v>1.7870099999999999E-3</v>
      </c>
      <c r="AE8">
        <v>2.00884E-3</v>
      </c>
      <c r="AF8" t="s">
        <v>499</v>
      </c>
      <c r="AG8" t="s">
        <v>500</v>
      </c>
      <c r="AH8">
        <v>1</v>
      </c>
      <c r="AI8" t="s">
        <v>493</v>
      </c>
      <c r="AJ8" t="s">
        <v>501</v>
      </c>
      <c r="AK8">
        <v>1</v>
      </c>
      <c r="AM8">
        <f t="shared" si="0"/>
        <v>0</v>
      </c>
      <c r="AN8">
        <f t="shared" si="1"/>
        <v>0</v>
      </c>
      <c r="AO8">
        <f t="shared" si="2"/>
        <v>1.4204301696783002E-2</v>
      </c>
      <c r="AP8">
        <f t="shared" si="3"/>
        <v>1.6409819744010005E-2</v>
      </c>
      <c r="AQ8">
        <f t="shared" si="4"/>
        <v>1.8876772793837704E-2</v>
      </c>
      <c r="AR8">
        <f t="shared" si="5"/>
        <v>2.0360615412990606E-2</v>
      </c>
      <c r="AS8">
        <f t="shared" si="6"/>
        <v>1.9931472313562706E-2</v>
      </c>
      <c r="AT8">
        <f t="shared" si="7"/>
        <v>2.2649596073757904E-2</v>
      </c>
      <c r="AU8">
        <f t="shared" si="8"/>
        <v>2.1954364246013401E-2</v>
      </c>
      <c r="AV8">
        <f t="shared" si="9"/>
        <v>2.2450964621940003E-2</v>
      </c>
      <c r="AW8">
        <f t="shared" si="10"/>
        <v>2.4377824532141105E-2</v>
      </c>
      <c r="AX8">
        <f t="shared" si="11"/>
        <v>2.4323154128170203E-2</v>
      </c>
      <c r="AY8">
        <f t="shared" si="12"/>
        <v>2.5791730787264405E-2</v>
      </c>
      <c r="AZ8">
        <f t="shared" si="13"/>
        <v>2.6918106381567004E-2</v>
      </c>
      <c r="BA8">
        <f t="shared" si="14"/>
        <v>3.1652554666894206E-2</v>
      </c>
      <c r="BB8">
        <f t="shared" si="15"/>
        <v>3.25245410863155E-2</v>
      </c>
      <c r="BC8">
        <f t="shared" si="16"/>
        <v>4.1813334122488208E-2</v>
      </c>
      <c r="BD8">
        <f t="shared" si="17"/>
        <v>3.6390003952916708E-2</v>
      </c>
      <c r="BE8">
        <f t="shared" si="18"/>
        <v>8.1062247911697013E-2</v>
      </c>
      <c r="BF8">
        <f t="shared" si="19"/>
        <v>8.8307272488843028E-2</v>
      </c>
      <c r="BG8">
        <f t="shared" si="20"/>
        <v>8.6080008059766011E-2</v>
      </c>
      <c r="BH8">
        <f t="shared" si="21"/>
        <v>9.0321422375790023E-2</v>
      </c>
      <c r="BI8">
        <f t="shared" si="22"/>
        <v>7.8718857803541001E-2</v>
      </c>
      <c r="BJ8">
        <f t="shared" si="23"/>
        <v>6.7284175299174007E-2</v>
      </c>
      <c r="BK8">
        <f t="shared" si="24"/>
        <v>7.8848466239367018E-2</v>
      </c>
      <c r="BL8">
        <f t="shared" si="25"/>
        <v>7.7722003659537006E-2</v>
      </c>
      <c r="BM8">
        <f t="shared" si="26"/>
        <v>8.7370003431108012E-2</v>
      </c>
    </row>
    <row r="9" spans="2:65" x14ac:dyDescent="0.3">
      <c r="B9">
        <v>6</v>
      </c>
      <c r="C9">
        <v>6.202</v>
      </c>
      <c r="D9">
        <v>6.194</v>
      </c>
      <c r="E9">
        <v>5.70389E-5</v>
      </c>
      <c r="F9">
        <v>3.3766599999999998E-4</v>
      </c>
      <c r="G9">
        <v>4.1692600000000003E-4</v>
      </c>
      <c r="H9">
        <v>6.4093899999999998E-4</v>
      </c>
      <c r="I9">
        <v>7.36599E-4</v>
      </c>
      <c r="J9">
        <v>9.2722400000000004E-4</v>
      </c>
      <c r="K9">
        <v>1.18027E-3</v>
      </c>
      <c r="L9">
        <v>1.6697299999999999E-3</v>
      </c>
      <c r="M9">
        <v>2.2296500000000001E-3</v>
      </c>
      <c r="N9">
        <v>3.4202500000000001E-3</v>
      </c>
      <c r="O9">
        <v>4.7637199999999999E-3</v>
      </c>
      <c r="P9">
        <v>7.0146399999999999E-3</v>
      </c>
      <c r="Q9">
        <v>9.1702199999999998E-3</v>
      </c>
      <c r="R9">
        <v>1.2859799999999999E-2</v>
      </c>
      <c r="S9">
        <v>1.8443299999999999E-2</v>
      </c>
      <c r="T9">
        <v>2.87899E-2</v>
      </c>
      <c r="U9">
        <v>3.9219400000000001E-2</v>
      </c>
      <c r="V9">
        <v>4.5876899999999998E-2</v>
      </c>
      <c r="W9">
        <v>5.7460499999999998E-2</v>
      </c>
      <c r="X9">
        <v>5.4660300000000002E-2</v>
      </c>
      <c r="Y9">
        <v>4.4379200000000001E-2</v>
      </c>
      <c r="Z9">
        <v>3.4846000000000002E-2</v>
      </c>
      <c r="AA9">
        <v>3.9997400000000002E-2</v>
      </c>
      <c r="AB9">
        <v>2.5237300000000001E-2</v>
      </c>
      <c r="AC9">
        <v>3.3058700000000003E-2</v>
      </c>
      <c r="AD9">
        <v>1.32561E-2</v>
      </c>
      <c r="AE9">
        <v>1.18192E-2</v>
      </c>
      <c r="AF9" t="s">
        <v>502</v>
      </c>
      <c r="AG9" t="s">
        <v>503</v>
      </c>
      <c r="AH9">
        <v>1</v>
      </c>
      <c r="AI9" t="s">
        <v>493</v>
      </c>
      <c r="AJ9">
        <v>1</v>
      </c>
      <c r="AK9">
        <v>1</v>
      </c>
      <c r="AM9">
        <f t="shared" si="0"/>
        <v>0</v>
      </c>
      <c r="AN9">
        <f t="shared" si="1"/>
        <v>1.46860275475242E-2</v>
      </c>
      <c r="AO9">
        <f t="shared" si="2"/>
        <v>1.8133263998386204E-2</v>
      </c>
      <c r="AP9">
        <f t="shared" si="3"/>
        <v>2.7876208473114304E-2</v>
      </c>
      <c r="AQ9">
        <f t="shared" si="4"/>
        <v>3.2036726248656305E-2</v>
      </c>
      <c r="AR9">
        <f t="shared" si="5"/>
        <v>4.0327534328968809E-2</v>
      </c>
      <c r="AS9">
        <f t="shared" si="6"/>
        <v>5.1333204212199009E-2</v>
      </c>
      <c r="AT9">
        <f t="shared" si="7"/>
        <v>7.2621172332801007E-2</v>
      </c>
      <c r="AU9">
        <f t="shared" si="8"/>
        <v>9.6973640583705029E-2</v>
      </c>
      <c r="AV9">
        <f t="shared" si="9"/>
        <v>0.14875612504492502</v>
      </c>
      <c r="AW9">
        <f t="shared" si="10"/>
        <v>0.20718734829296404</v>
      </c>
      <c r="AX9">
        <f t="shared" si="11"/>
        <v>0.30508607996056808</v>
      </c>
      <c r="AY9">
        <f t="shared" si="12"/>
        <v>0.3988382115370141</v>
      </c>
      <c r="AZ9">
        <f t="shared" si="13"/>
        <v>0.55930824262926004</v>
      </c>
      <c r="BA9">
        <f t="shared" si="14"/>
        <v>0.80215008874821014</v>
      </c>
      <c r="BB9">
        <f t="shared" si="15"/>
        <v>1.2521523176466303</v>
      </c>
      <c r="BC9">
        <f t="shared" si="16"/>
        <v>1.7057600966557804</v>
      </c>
      <c r="BD9">
        <f t="shared" si="17"/>
        <v>1.9953131709885303</v>
      </c>
      <c r="BE9">
        <f t="shared" si="18"/>
        <v>2.4991159485838503</v>
      </c>
      <c r="BF9">
        <f t="shared" si="19"/>
        <v>2.3773275116711106</v>
      </c>
      <c r="BG9">
        <f t="shared" si="20"/>
        <v>1.9301740587950404</v>
      </c>
      <c r="BH9">
        <f t="shared" si="21"/>
        <v>1.5155488438902005</v>
      </c>
      <c r="BI9">
        <f t="shared" si="22"/>
        <v>1.7395974668143803</v>
      </c>
      <c r="BJ9">
        <f t="shared" si="23"/>
        <v>1.0976399253260103</v>
      </c>
      <c r="BK9">
        <f t="shared" si="24"/>
        <v>1.4378142273291903</v>
      </c>
      <c r="BL9">
        <f t="shared" si="25"/>
        <v>0.57654442488357005</v>
      </c>
      <c r="BM9">
        <f t="shared" si="26"/>
        <v>0.51404967272304014</v>
      </c>
    </row>
    <row r="10" spans="2:65" x14ac:dyDescent="0.3">
      <c r="B10">
        <v>7</v>
      </c>
      <c r="C10">
        <v>5.8250000000000002</v>
      </c>
      <c r="D10">
        <v>5.798</v>
      </c>
      <c r="E10">
        <v>-9.4017200000000005E-5</v>
      </c>
      <c r="F10">
        <v>1.68455E-5</v>
      </c>
      <c r="G10">
        <v>-1.7918099999999999E-4</v>
      </c>
      <c r="H10">
        <v>-1.9561699999999999E-5</v>
      </c>
      <c r="I10">
        <v>3.17627E-5</v>
      </c>
      <c r="J10">
        <v>3.4739400000000001E-5</v>
      </c>
      <c r="K10">
        <v>8.4391699999999994E-5</v>
      </c>
      <c r="L10">
        <v>8.2034399999999995E-5</v>
      </c>
      <c r="M10">
        <v>3.3831999999999997E-5</v>
      </c>
      <c r="N10">
        <v>3.0221699999999999E-5</v>
      </c>
      <c r="O10">
        <v>-4.6553600000000001E-6</v>
      </c>
      <c r="P10">
        <v>1.72084E-4</v>
      </c>
      <c r="Q10">
        <v>2.30993E-4</v>
      </c>
      <c r="R10">
        <v>2.9000500000000003E-4</v>
      </c>
      <c r="S10">
        <v>6.0282900000000004E-4</v>
      </c>
      <c r="T10">
        <v>8.8660200000000001E-4</v>
      </c>
      <c r="U10">
        <v>1.36651E-3</v>
      </c>
      <c r="V10">
        <v>1.3601799999999999E-3</v>
      </c>
      <c r="W10">
        <v>6.3112999999999997E-3</v>
      </c>
      <c r="X10">
        <v>7.77424E-3</v>
      </c>
      <c r="Y10">
        <v>7.9919399999999995E-3</v>
      </c>
      <c r="Z10">
        <v>1.0055100000000001E-2</v>
      </c>
      <c r="AA10">
        <v>1.1297400000000001E-2</v>
      </c>
      <c r="AB10">
        <v>1.1900900000000001E-2</v>
      </c>
      <c r="AC10">
        <v>1.38079E-2</v>
      </c>
      <c r="AD10">
        <v>1.5292999999999999E-2</v>
      </c>
      <c r="AE10">
        <v>1.3601500000000001E-2</v>
      </c>
      <c r="AF10" t="s">
        <v>494</v>
      </c>
      <c r="AG10" t="s">
        <v>495</v>
      </c>
      <c r="AH10">
        <v>1</v>
      </c>
      <c r="AI10" t="s">
        <v>496</v>
      </c>
      <c r="AJ10" t="s">
        <v>497</v>
      </c>
      <c r="AK10">
        <v>1</v>
      </c>
      <c r="AM10">
        <f t="shared" si="0"/>
        <v>0</v>
      </c>
      <c r="AN10">
        <f t="shared" si="1"/>
        <v>0</v>
      </c>
      <c r="AO10">
        <f t="shared" si="2"/>
        <v>0</v>
      </c>
      <c r="AP10">
        <f t="shared" si="3"/>
        <v>0</v>
      </c>
      <c r="AQ10">
        <f t="shared" si="4"/>
        <v>0</v>
      </c>
      <c r="AR10">
        <f t="shared" si="5"/>
        <v>0</v>
      </c>
      <c r="AS10">
        <f t="shared" si="6"/>
        <v>0</v>
      </c>
      <c r="AT10">
        <f t="shared" si="7"/>
        <v>0</v>
      </c>
      <c r="AU10">
        <f t="shared" si="8"/>
        <v>0</v>
      </c>
      <c r="AV10">
        <f t="shared" si="9"/>
        <v>0</v>
      </c>
      <c r="AW10">
        <f t="shared" si="10"/>
        <v>0</v>
      </c>
      <c r="AX10">
        <f t="shared" si="11"/>
        <v>0</v>
      </c>
      <c r="AY10">
        <f t="shared" si="12"/>
        <v>1.0046523965354102E-2</v>
      </c>
      <c r="AZ10">
        <f t="shared" si="13"/>
        <v>1.2613118936818504E-2</v>
      </c>
      <c r="BA10">
        <f t="shared" si="14"/>
        <v>2.6218699248507307E-2</v>
      </c>
      <c r="BB10">
        <f t="shared" si="15"/>
        <v>3.8560771281947404E-2</v>
      </c>
      <c r="BC10">
        <f t="shared" si="16"/>
        <v>5.9433296523687007E-2</v>
      </c>
      <c r="BD10">
        <f t="shared" si="17"/>
        <v>5.9157987329466005E-2</v>
      </c>
      <c r="BE10">
        <f t="shared" si="18"/>
        <v>0.27449587953981003</v>
      </c>
      <c r="BF10">
        <f t="shared" si="19"/>
        <v>0.33812318326708801</v>
      </c>
      <c r="BG10">
        <f t="shared" si="20"/>
        <v>0.34759155792457808</v>
      </c>
      <c r="BH10">
        <f t="shared" si="21"/>
        <v>0.43732408827987007</v>
      </c>
      <c r="BI10">
        <f t="shared" si="22"/>
        <v>0.49135514862438018</v>
      </c>
      <c r="BJ10">
        <f t="shared" si="23"/>
        <v>0.51760303151733011</v>
      </c>
      <c r="BK10">
        <f t="shared" si="24"/>
        <v>0.60054373189323007</v>
      </c>
      <c r="BL10">
        <f t="shared" si="25"/>
        <v>0.66513483526410011</v>
      </c>
      <c r="BM10">
        <f t="shared" si="26"/>
        <v>0.59156682546555017</v>
      </c>
    </row>
    <row r="11" spans="2:65" hidden="1" x14ac:dyDescent="0.3">
      <c r="B11">
        <v>8</v>
      </c>
      <c r="C11">
        <v>5.3879999999999999</v>
      </c>
      <c r="D11">
        <v>5.3719999999999999</v>
      </c>
      <c r="E11">
        <v>5.3083000000000002E-3</v>
      </c>
      <c r="F11">
        <v>5.1371200000000002E-3</v>
      </c>
      <c r="G11">
        <v>5.2297799999999998E-3</v>
      </c>
      <c r="H11">
        <v>5.2400499999999996E-3</v>
      </c>
      <c r="I11">
        <v>5.1361899999999997E-3</v>
      </c>
      <c r="J11">
        <v>5.08984E-3</v>
      </c>
      <c r="K11">
        <v>4.9595100000000003E-3</v>
      </c>
      <c r="L11">
        <v>4.9710300000000004E-3</v>
      </c>
      <c r="M11">
        <v>4.7576700000000003E-3</v>
      </c>
      <c r="N11">
        <v>4.9060500000000003E-3</v>
      </c>
      <c r="O11">
        <v>4.7695000000000003E-3</v>
      </c>
      <c r="P11">
        <v>4.5770400000000001E-3</v>
      </c>
      <c r="Q11">
        <v>4.2381099999999998E-3</v>
      </c>
      <c r="R11">
        <v>3.8318800000000002E-3</v>
      </c>
      <c r="S11">
        <v>3.6090800000000002E-3</v>
      </c>
      <c r="T11">
        <v>2.9516E-3</v>
      </c>
      <c r="U11">
        <v>2.2095800000000001E-3</v>
      </c>
      <c r="V11">
        <v>9.9711599999999993E-4</v>
      </c>
      <c r="W11">
        <v>5.6245500000000001E-4</v>
      </c>
      <c r="X11">
        <v>5.7109299999999995E-4</v>
      </c>
      <c r="Y11">
        <v>6.7184500000000002E-4</v>
      </c>
      <c r="Z11">
        <v>6.05753E-4</v>
      </c>
      <c r="AA11">
        <v>1.7934299999999999E-3</v>
      </c>
      <c r="AB11">
        <v>1.71233E-3</v>
      </c>
      <c r="AC11">
        <v>5.7251700000000003E-4</v>
      </c>
      <c r="AD11">
        <v>1.4179100000000001E-3</v>
      </c>
      <c r="AE11">
        <v>6.0475999999999998E-4</v>
      </c>
      <c r="AF11" t="s">
        <v>504</v>
      </c>
      <c r="AH11">
        <v>1</v>
      </c>
      <c r="AK11">
        <v>1</v>
      </c>
      <c r="AM11">
        <f t="shared" si="0"/>
        <v>0.23087263754871007</v>
      </c>
      <c r="AN11">
        <f t="shared" si="1"/>
        <v>0.22342754625854405</v>
      </c>
      <c r="AO11">
        <f t="shared" si="2"/>
        <v>0.22745758574298602</v>
      </c>
      <c r="AP11">
        <f t="shared" si="3"/>
        <v>0.22790425642618503</v>
      </c>
      <c r="AQ11">
        <f t="shared" si="4"/>
        <v>0.22338709798830303</v>
      </c>
      <c r="AR11">
        <f t="shared" si="5"/>
        <v>0.22137120839080804</v>
      </c>
      <c r="AS11">
        <f t="shared" si="6"/>
        <v>0.21570279649778706</v>
      </c>
      <c r="AT11">
        <f t="shared" si="7"/>
        <v>0.21620383313561103</v>
      </c>
      <c r="AU11">
        <f t="shared" si="8"/>
        <v>0.20692421707257905</v>
      </c>
      <c r="AV11">
        <f t="shared" si="9"/>
        <v>0.21337767335038504</v>
      </c>
      <c r="AW11">
        <f t="shared" si="10"/>
        <v>0.20743873646715005</v>
      </c>
      <c r="AX11">
        <f t="shared" si="11"/>
        <v>0.19906811916544806</v>
      </c>
      <c r="AY11">
        <f t="shared" si="12"/>
        <v>0.18432711676460703</v>
      </c>
      <c r="AZ11">
        <f t="shared" si="13"/>
        <v>0.16665905136675604</v>
      </c>
      <c r="BA11">
        <f t="shared" si="14"/>
        <v>0.15696886361439605</v>
      </c>
      <c r="BB11">
        <f t="shared" si="15"/>
        <v>0.12837324133692002</v>
      </c>
      <c r="BC11">
        <f t="shared" si="16"/>
        <v>9.6100740816246019E-2</v>
      </c>
      <c r="BD11">
        <f t="shared" si="17"/>
        <v>4.3367330569489208E-2</v>
      </c>
      <c r="BE11">
        <f t="shared" si="18"/>
        <v>2.4462722406883505E-2</v>
      </c>
      <c r="BF11">
        <f t="shared" si="19"/>
        <v>2.4838412899724101E-2</v>
      </c>
      <c r="BG11">
        <f t="shared" si="20"/>
        <v>2.9220395828026505E-2</v>
      </c>
      <c r="BH11">
        <f t="shared" si="21"/>
        <v>2.6345872089566104E-2</v>
      </c>
      <c r="BI11">
        <f t="shared" si="22"/>
        <v>7.8001227202491016E-2</v>
      </c>
      <c r="BJ11">
        <f t="shared" si="23"/>
        <v>7.4473964066421011E-2</v>
      </c>
      <c r="BK11">
        <f t="shared" si="24"/>
        <v>2.4900346595232905E-2</v>
      </c>
      <c r="BL11">
        <f t="shared" si="25"/>
        <v>6.1668824577867015E-2</v>
      </c>
      <c r="BM11">
        <f t="shared" si="26"/>
        <v>2.6302683775212003E-2</v>
      </c>
    </row>
    <row r="12" spans="2:65" x14ac:dyDescent="0.3">
      <c r="B12">
        <v>9</v>
      </c>
      <c r="C12">
        <v>5.2549999999999999</v>
      </c>
      <c r="D12">
        <v>5.2270000000000003</v>
      </c>
      <c r="E12">
        <v>1.1065199999999999</v>
      </c>
      <c r="F12">
        <v>1.08508</v>
      </c>
      <c r="G12">
        <v>1.08599</v>
      </c>
      <c r="H12">
        <v>1.0751999999999999</v>
      </c>
      <c r="I12">
        <v>1.0667599999999999</v>
      </c>
      <c r="J12">
        <v>1.02843</v>
      </c>
      <c r="K12">
        <v>1.0145299999999999</v>
      </c>
      <c r="L12">
        <v>1.02413</v>
      </c>
      <c r="M12">
        <v>1.0024599999999999</v>
      </c>
      <c r="N12">
        <v>1.0035700000000001</v>
      </c>
      <c r="O12">
        <v>0.99524699999999999</v>
      </c>
      <c r="P12">
        <v>0.94304100000000002</v>
      </c>
      <c r="Q12">
        <v>0.87137799999999999</v>
      </c>
      <c r="R12">
        <v>0.79623999999999995</v>
      </c>
      <c r="S12">
        <v>0.70678700000000005</v>
      </c>
      <c r="T12">
        <v>0.57984400000000003</v>
      </c>
      <c r="U12">
        <v>0.41311700000000001</v>
      </c>
      <c r="V12">
        <v>0.11322699999999999</v>
      </c>
      <c r="W12">
        <v>4.3686999999999997E-3</v>
      </c>
      <c r="X12">
        <v>3.7042400000000001E-3</v>
      </c>
      <c r="Y12">
        <v>4.4325800000000002E-3</v>
      </c>
      <c r="Z12">
        <v>3.0164100000000002E-3</v>
      </c>
      <c r="AA12">
        <v>1.10481E-2</v>
      </c>
      <c r="AB12">
        <v>9.4492499999999993E-3</v>
      </c>
      <c r="AC12">
        <v>4.0371499999999998E-3</v>
      </c>
      <c r="AD12">
        <v>6.7317999999999996E-3</v>
      </c>
      <c r="AE12">
        <v>4.1944299999999999E-3</v>
      </c>
      <c r="AF12" s="27" t="s">
        <v>540</v>
      </c>
      <c r="AG12" t="s">
        <v>505</v>
      </c>
      <c r="AH12">
        <v>1</v>
      </c>
      <c r="AI12" t="s">
        <v>496</v>
      </c>
      <c r="AJ12" t="s">
        <v>506</v>
      </c>
      <c r="AK12">
        <v>0.36</v>
      </c>
      <c r="AM12">
        <f t="shared" si="0"/>
        <v>133.68225802590001</v>
      </c>
      <c r="AN12">
        <f t="shared" si="1"/>
        <v>131.09202232110002</v>
      </c>
      <c r="AO12">
        <f t="shared" si="2"/>
        <v>131.20196236267503</v>
      </c>
      <c r="AP12">
        <f t="shared" si="3"/>
        <v>129.89838758400001</v>
      </c>
      <c r="AQ12">
        <f t="shared" si="4"/>
        <v>128.87872390170003</v>
      </c>
      <c r="AR12">
        <f t="shared" si="5"/>
        <v>124.24795269997502</v>
      </c>
      <c r="AS12">
        <f t="shared" si="6"/>
        <v>122.56864876822502</v>
      </c>
      <c r="AT12">
        <f t="shared" si="7"/>
        <v>123.72845580022502</v>
      </c>
      <c r="AU12">
        <f t="shared" si="8"/>
        <v>121.11043305195003</v>
      </c>
      <c r="AV12">
        <f t="shared" si="9"/>
        <v>121.24453574002503</v>
      </c>
      <c r="AW12">
        <f t="shared" si="10"/>
        <v>120.23900720592754</v>
      </c>
      <c r="AX12">
        <f t="shared" si="11"/>
        <v>113.93183159003254</v>
      </c>
      <c r="AY12">
        <f t="shared" si="12"/>
        <v>105.27399290938502</v>
      </c>
      <c r="AZ12">
        <f t="shared" si="13"/>
        <v>96.196328245800018</v>
      </c>
      <c r="BA12">
        <f t="shared" si="14"/>
        <v>85.389222158977518</v>
      </c>
      <c r="BB12">
        <f t="shared" si="15"/>
        <v>70.052827985730019</v>
      </c>
      <c r="BC12">
        <f t="shared" si="16"/>
        <v>49.910000170702517</v>
      </c>
      <c r="BD12">
        <f t="shared" si="17"/>
        <v>13.679319876277503</v>
      </c>
      <c r="BE12">
        <f t="shared" si="18"/>
        <v>0.52779676882275006</v>
      </c>
      <c r="BF12">
        <f t="shared" si="19"/>
        <v>0.44752120835580012</v>
      </c>
      <c r="BG12">
        <f t="shared" si="20"/>
        <v>0.53551431811485017</v>
      </c>
      <c r="BH12">
        <f t="shared" si="21"/>
        <v>0.36442224264532513</v>
      </c>
      <c r="BI12">
        <f t="shared" si="22"/>
        <v>1.3347566739832504</v>
      </c>
      <c r="BJ12">
        <f t="shared" si="23"/>
        <v>1.1415944372006253</v>
      </c>
      <c r="BK12">
        <f t="shared" si="24"/>
        <v>0.48774114158737503</v>
      </c>
      <c r="BL12">
        <f t="shared" si="25"/>
        <v>0.8132905185435001</v>
      </c>
      <c r="BM12">
        <f t="shared" si="26"/>
        <v>0.50674264679497505</v>
      </c>
    </row>
    <row r="13" spans="2:65" hidden="1" x14ac:dyDescent="0.3">
      <c r="B13">
        <v>10</v>
      </c>
      <c r="C13">
        <v>4.5259999999999998</v>
      </c>
      <c r="D13">
        <v>4.5149999999999997</v>
      </c>
      <c r="E13">
        <v>4.6465200000000003E-3</v>
      </c>
      <c r="F13">
        <v>4.6103100000000003E-3</v>
      </c>
      <c r="G13">
        <v>4.39858E-3</v>
      </c>
      <c r="H13">
        <v>4.4218900000000004E-3</v>
      </c>
      <c r="I13">
        <v>4.2867499999999998E-3</v>
      </c>
      <c r="J13">
        <v>4.22114E-3</v>
      </c>
      <c r="K13">
        <v>4.1957499999999998E-3</v>
      </c>
      <c r="L13">
        <v>4.3690600000000001E-3</v>
      </c>
      <c r="M13">
        <v>4.2147E-3</v>
      </c>
      <c r="N13">
        <v>4.1684599999999997E-3</v>
      </c>
      <c r="O13">
        <v>4.1858099999999999E-3</v>
      </c>
      <c r="P13">
        <v>3.9756899999999996E-3</v>
      </c>
      <c r="Q13">
        <v>3.7673799999999999E-3</v>
      </c>
      <c r="R13">
        <v>3.4435099999999999E-3</v>
      </c>
      <c r="S13">
        <v>3.1478299999999999E-3</v>
      </c>
      <c r="T13">
        <v>2.7158999999999998E-3</v>
      </c>
      <c r="U13">
        <v>2.2815299999999999E-3</v>
      </c>
      <c r="V13">
        <v>1.1818499999999999E-3</v>
      </c>
      <c r="W13">
        <v>1.2739400000000001E-3</v>
      </c>
      <c r="X13">
        <v>1.36994E-3</v>
      </c>
      <c r="Y13">
        <v>1.3927E-3</v>
      </c>
      <c r="Z13">
        <v>1.0865600000000001E-3</v>
      </c>
      <c r="AA13">
        <v>1.11187E-3</v>
      </c>
      <c r="AB13">
        <v>6.4323500000000003E-4</v>
      </c>
      <c r="AC13">
        <v>8.5506000000000004E-4</v>
      </c>
      <c r="AD13">
        <v>9.4056599999999999E-4</v>
      </c>
      <c r="AE13">
        <v>1.4174700000000001E-3</v>
      </c>
      <c r="AF13" t="s">
        <v>504</v>
      </c>
      <c r="AH13">
        <v>1</v>
      </c>
      <c r="AK13">
        <v>1</v>
      </c>
      <c r="AM13">
        <f t="shared" si="0"/>
        <v>0.20208999638732406</v>
      </c>
      <c r="AN13">
        <f t="shared" si="1"/>
        <v>0.20051512341374705</v>
      </c>
      <c r="AO13">
        <f t="shared" si="2"/>
        <v>0.19130640055554604</v>
      </c>
      <c r="AP13">
        <f t="shared" si="3"/>
        <v>0.19232021687739304</v>
      </c>
      <c r="AQ13">
        <f t="shared" si="4"/>
        <v>0.18644260479097502</v>
      </c>
      <c r="AR13">
        <f t="shared" si="5"/>
        <v>0.18358904456461805</v>
      </c>
      <c r="AS13">
        <f t="shared" si="6"/>
        <v>0.18248476329427502</v>
      </c>
      <c r="AT13">
        <f t="shared" si="7"/>
        <v>0.19002249417112205</v>
      </c>
      <c r="AU13">
        <f t="shared" si="8"/>
        <v>0.18330895116639001</v>
      </c>
      <c r="AV13">
        <f t="shared" si="9"/>
        <v>0.18129784577290201</v>
      </c>
      <c r="AW13">
        <f t="shared" si="10"/>
        <v>0.18205244522309705</v>
      </c>
      <c r="AX13">
        <f t="shared" si="11"/>
        <v>0.172913745714453</v>
      </c>
      <c r="AY13">
        <f t="shared" si="12"/>
        <v>0.16385376810810603</v>
      </c>
      <c r="AZ13">
        <f t="shared" si="13"/>
        <v>0.14976776672858705</v>
      </c>
      <c r="BA13">
        <f t="shared" si="14"/>
        <v>0.13690782635777102</v>
      </c>
      <c r="BB13">
        <f t="shared" si="15"/>
        <v>0.11812199693283001</v>
      </c>
      <c r="BC13">
        <f t="shared" si="16"/>
        <v>9.9230045164461017E-2</v>
      </c>
      <c r="BD13">
        <f t="shared" si="17"/>
        <v>5.1401922778845005E-2</v>
      </c>
      <c r="BE13">
        <f t="shared" si="18"/>
        <v>5.5407171387978016E-2</v>
      </c>
      <c r="BF13">
        <f t="shared" si="19"/>
        <v>5.9582476703178011E-2</v>
      </c>
      <c r="BG13">
        <f t="shared" si="20"/>
        <v>6.0572372004990008E-2</v>
      </c>
      <c r="BH13">
        <f t="shared" si="21"/>
        <v>4.7257497325872019E-2</v>
      </c>
      <c r="BI13">
        <f t="shared" si="22"/>
        <v>4.835829917511901E-2</v>
      </c>
      <c r="BJ13">
        <f t="shared" si="23"/>
        <v>2.7976067858569507E-2</v>
      </c>
      <c r="BK13">
        <f t="shared" si="24"/>
        <v>3.7188922529322009E-2</v>
      </c>
      <c r="BL13">
        <f t="shared" si="25"/>
        <v>4.0907814782254207E-2</v>
      </c>
      <c r="BM13">
        <f t="shared" si="26"/>
        <v>6.1649687761839017E-2</v>
      </c>
    </row>
    <row r="14" spans="2:65" hidden="1" x14ac:dyDescent="0.3">
      <c r="B14">
        <v>11</v>
      </c>
      <c r="C14">
        <v>4.5129999999999999</v>
      </c>
      <c r="D14">
        <v>4.5039999999999996</v>
      </c>
      <c r="E14">
        <v>4.41508E-3</v>
      </c>
      <c r="F14">
        <v>4.3561199999999998E-3</v>
      </c>
      <c r="G14">
        <v>4.3413899999999997E-3</v>
      </c>
      <c r="H14">
        <v>4.2089800000000002E-3</v>
      </c>
      <c r="I14">
        <v>4.2169599999999996E-3</v>
      </c>
      <c r="J14">
        <v>4.1310899999999996E-3</v>
      </c>
      <c r="K14">
        <v>4.0372699999999999E-3</v>
      </c>
      <c r="L14">
        <v>4.1849299999999999E-3</v>
      </c>
      <c r="M14">
        <v>4.0649199999999996E-3</v>
      </c>
      <c r="N14">
        <v>4.07319E-3</v>
      </c>
      <c r="O14">
        <v>4.0821700000000004E-3</v>
      </c>
      <c r="P14">
        <v>3.77758E-3</v>
      </c>
      <c r="Q14">
        <v>3.5818099999999999E-3</v>
      </c>
      <c r="R14">
        <v>3.24077E-3</v>
      </c>
      <c r="S14">
        <v>2.9186099999999999E-3</v>
      </c>
      <c r="T14">
        <v>2.47686E-3</v>
      </c>
      <c r="U14">
        <v>2.16869E-3</v>
      </c>
      <c r="V14">
        <v>1.0321E-3</v>
      </c>
      <c r="W14">
        <v>8.2534700000000004E-4</v>
      </c>
      <c r="X14">
        <v>7.8824799999999997E-4</v>
      </c>
      <c r="Y14">
        <v>8.1592600000000002E-4</v>
      </c>
      <c r="Z14">
        <v>6.1436499999999996E-4</v>
      </c>
      <c r="AA14">
        <v>5.8587199999999998E-4</v>
      </c>
      <c r="AB14">
        <v>2.8738499999999997E-4</v>
      </c>
      <c r="AC14">
        <v>3.99307E-4</v>
      </c>
      <c r="AD14">
        <v>4.6550699999999999E-4</v>
      </c>
      <c r="AE14">
        <v>9.1211299999999999E-4</v>
      </c>
      <c r="AF14" t="s">
        <v>504</v>
      </c>
      <c r="AH14">
        <v>1</v>
      </c>
      <c r="AK14">
        <v>1</v>
      </c>
      <c r="AM14">
        <f t="shared" si="0"/>
        <v>0.19202403115659603</v>
      </c>
      <c r="AN14">
        <f t="shared" si="1"/>
        <v>0.18945969780884403</v>
      </c>
      <c r="AO14">
        <f t="shared" si="2"/>
        <v>0.18881904939954303</v>
      </c>
      <c r="AP14">
        <f t="shared" si="3"/>
        <v>0.18306017255802604</v>
      </c>
      <c r="AQ14">
        <f t="shared" si="4"/>
        <v>0.18340724481235202</v>
      </c>
      <c r="AR14">
        <f t="shared" si="5"/>
        <v>0.17967252119343302</v>
      </c>
      <c r="AS14">
        <f t="shared" si="6"/>
        <v>0.17559203010309904</v>
      </c>
      <c r="AT14">
        <f t="shared" si="7"/>
        <v>0.18201417159104102</v>
      </c>
      <c r="AU14">
        <f t="shared" si="8"/>
        <v>0.176794605019404</v>
      </c>
      <c r="AV14">
        <f t="shared" si="9"/>
        <v>0.17715429017520304</v>
      </c>
      <c r="AW14">
        <f t="shared" si="10"/>
        <v>0.17754485519322905</v>
      </c>
      <c r="AX14">
        <f t="shared" si="11"/>
        <v>0.16429739429784601</v>
      </c>
      <c r="AY14">
        <f t="shared" si="12"/>
        <v>0.15578281594829702</v>
      </c>
      <c r="AZ14">
        <f t="shared" si="13"/>
        <v>0.140950043816049</v>
      </c>
      <c r="BA14">
        <f t="shared" si="14"/>
        <v>0.12693841506245701</v>
      </c>
      <c r="BB14">
        <f t="shared" si="15"/>
        <v>0.10772548669798201</v>
      </c>
      <c r="BC14">
        <f t="shared" si="16"/>
        <v>9.4322321708553022E-2</v>
      </c>
      <c r="BD14">
        <f t="shared" si="17"/>
        <v>4.4888881414770009E-2</v>
      </c>
      <c r="BE14">
        <f t="shared" si="18"/>
        <v>3.5896622041503908E-2</v>
      </c>
      <c r="BF14">
        <f t="shared" si="19"/>
        <v>3.4283084000997603E-2</v>
      </c>
      <c r="BG14">
        <f t="shared" si="20"/>
        <v>3.5486876714686207E-2</v>
      </c>
      <c r="BH14">
        <f t="shared" si="21"/>
        <v>2.6720431770550505E-2</v>
      </c>
      <c r="BI14">
        <f t="shared" si="22"/>
        <v>2.5481192454446404E-2</v>
      </c>
      <c r="BJ14">
        <f t="shared" si="23"/>
        <v>1.2499167895924502E-2</v>
      </c>
      <c r="BK14">
        <f t="shared" si="24"/>
        <v>1.7366964994755901E-2</v>
      </c>
      <c r="BL14">
        <f t="shared" si="25"/>
        <v>2.0246185951695903E-2</v>
      </c>
      <c r="BM14">
        <f t="shared" si="26"/>
        <v>3.9670315176698105E-2</v>
      </c>
    </row>
    <row r="15" spans="2:65" x14ac:dyDescent="0.3">
      <c r="B15">
        <v>12</v>
      </c>
      <c r="C15">
        <v>4.4349999999999996</v>
      </c>
      <c r="D15">
        <v>4.4210000000000003</v>
      </c>
      <c r="E15">
        <v>1.90488E-4</v>
      </c>
      <c r="F15">
        <v>3.2427299999999998E-4</v>
      </c>
      <c r="G15">
        <v>3.64247E-4</v>
      </c>
      <c r="H15">
        <v>3.7392399999999998E-4</v>
      </c>
      <c r="I15">
        <v>2.13379E-4</v>
      </c>
      <c r="J15">
        <v>2.86994E-4</v>
      </c>
      <c r="K15">
        <v>3.4543699999999998E-4</v>
      </c>
      <c r="L15">
        <v>1.9835299999999999E-4</v>
      </c>
      <c r="M15">
        <v>2.8636299999999998E-4</v>
      </c>
      <c r="N15">
        <v>3.2319E-4</v>
      </c>
      <c r="O15">
        <v>3.2615299999999998E-4</v>
      </c>
      <c r="P15">
        <v>3.1336100000000001E-4</v>
      </c>
      <c r="Q15">
        <v>5.1360499999999999E-4</v>
      </c>
      <c r="R15">
        <v>6.9009099999999999E-4</v>
      </c>
      <c r="S15">
        <v>5.3504400000000004E-4</v>
      </c>
      <c r="T15">
        <v>1.0008300000000001E-3</v>
      </c>
      <c r="U15">
        <v>1.4260500000000001E-3</v>
      </c>
      <c r="V15">
        <v>1.55835E-3</v>
      </c>
      <c r="W15">
        <v>2.513E-3</v>
      </c>
      <c r="X15">
        <v>2.40149E-3</v>
      </c>
      <c r="Y15">
        <v>2.26232E-3</v>
      </c>
      <c r="Z15">
        <v>1.9385800000000001E-3</v>
      </c>
      <c r="AA15">
        <v>2.2045300000000001E-3</v>
      </c>
      <c r="AB15">
        <v>1.53046E-3</v>
      </c>
      <c r="AC15">
        <v>1.74964E-3</v>
      </c>
      <c r="AD15">
        <v>1.9986100000000001E-3</v>
      </c>
      <c r="AE15">
        <v>2.5537699999999999E-3</v>
      </c>
      <c r="AF15" t="s">
        <v>507</v>
      </c>
      <c r="AG15" t="s">
        <v>508</v>
      </c>
      <c r="AH15">
        <v>4</v>
      </c>
      <c r="AI15" t="s">
        <v>493</v>
      </c>
      <c r="AJ15">
        <v>1</v>
      </c>
      <c r="AK15">
        <v>1</v>
      </c>
      <c r="AM15">
        <f t="shared" si="0"/>
        <v>0</v>
      </c>
      <c r="AN15">
        <f t="shared" si="1"/>
        <v>0</v>
      </c>
      <c r="AO15">
        <f t="shared" si="2"/>
        <v>0</v>
      </c>
      <c r="AP15">
        <f t="shared" si="3"/>
        <v>0</v>
      </c>
      <c r="AQ15">
        <f t="shared" si="4"/>
        <v>0</v>
      </c>
      <c r="AR15">
        <f t="shared" si="5"/>
        <v>0</v>
      </c>
      <c r="AS15">
        <f t="shared" si="6"/>
        <v>0</v>
      </c>
      <c r="AT15">
        <f t="shared" si="7"/>
        <v>0</v>
      </c>
      <c r="AU15">
        <f t="shared" si="8"/>
        <v>0</v>
      </c>
      <c r="AV15">
        <f t="shared" si="9"/>
        <v>0</v>
      </c>
      <c r="AW15">
        <f t="shared" si="10"/>
        <v>0</v>
      </c>
      <c r="AX15">
        <f t="shared" si="11"/>
        <v>0</v>
      </c>
      <c r="AY15">
        <f t="shared" si="12"/>
        <v>0</v>
      </c>
      <c r="AZ15">
        <f t="shared" si="13"/>
        <v>0</v>
      </c>
      <c r="BA15">
        <f t="shared" si="14"/>
        <v>0</v>
      </c>
      <c r="BB15">
        <f t="shared" si="15"/>
        <v>1.0882215673467753E-2</v>
      </c>
      <c r="BC15">
        <f t="shared" si="16"/>
        <v>1.5505713918596254E-2</v>
      </c>
      <c r="BD15">
        <f t="shared" si="17"/>
        <v>1.6944237077973753E-2</v>
      </c>
      <c r="BE15">
        <f t="shared" si="18"/>
        <v>2.7324328794525007E-2</v>
      </c>
      <c r="BF15">
        <f t="shared" si="19"/>
        <v>2.6111859274478254E-2</v>
      </c>
      <c r="BG15">
        <f t="shared" si="20"/>
        <v>2.4598637293446003E-2</v>
      </c>
      <c r="BH15">
        <f t="shared" si="21"/>
        <v>2.1078550463386504E-2</v>
      </c>
      <c r="BI15">
        <f t="shared" si="22"/>
        <v>2.3970275589890254E-2</v>
      </c>
      <c r="BJ15">
        <f t="shared" si="23"/>
        <v>1.6640983783075502E-2</v>
      </c>
      <c r="BK15">
        <f t="shared" si="24"/>
        <v>1.9024169770017006E-2</v>
      </c>
      <c r="BL15">
        <f t="shared" si="25"/>
        <v>2.1731268114614254E-2</v>
      </c>
      <c r="BM15">
        <f t="shared" si="26"/>
        <v>2.7767628788537255E-2</v>
      </c>
    </row>
    <row r="16" spans="2:65" hidden="1" x14ac:dyDescent="0.3">
      <c r="B16">
        <v>13</v>
      </c>
      <c r="C16">
        <v>4.03</v>
      </c>
      <c r="D16">
        <v>4.0209999999999999</v>
      </c>
      <c r="E16">
        <v>2.1929499999999999E-3</v>
      </c>
      <c r="F16">
        <v>1.9723800000000001E-3</v>
      </c>
      <c r="G16">
        <v>1.8420000000000001E-3</v>
      </c>
      <c r="H16">
        <v>2.1473600000000001E-3</v>
      </c>
      <c r="I16">
        <v>1.86111E-3</v>
      </c>
      <c r="J16">
        <v>1.7569300000000001E-3</v>
      </c>
      <c r="K16">
        <v>2.0147300000000002E-3</v>
      </c>
      <c r="L16">
        <v>1.96817E-3</v>
      </c>
      <c r="M16">
        <v>1.7865400000000001E-3</v>
      </c>
      <c r="N16">
        <v>2.0800900000000002E-3</v>
      </c>
      <c r="O16">
        <v>2.1623499999999999E-3</v>
      </c>
      <c r="P16">
        <v>2.28407E-3</v>
      </c>
      <c r="Q16">
        <v>1.8670900000000001E-3</v>
      </c>
      <c r="R16">
        <v>2.3079799999999998E-3</v>
      </c>
      <c r="S16">
        <v>2.2540300000000002E-3</v>
      </c>
      <c r="T16">
        <v>2.5254499999999998E-3</v>
      </c>
      <c r="U16">
        <v>3.0416499999999999E-3</v>
      </c>
      <c r="V16">
        <v>2.82051E-3</v>
      </c>
      <c r="W16">
        <v>3.63606E-3</v>
      </c>
      <c r="X16">
        <v>3.9075300000000002E-3</v>
      </c>
      <c r="Y16">
        <v>4.8970000000000003E-3</v>
      </c>
      <c r="Z16">
        <v>4.1994900000000002E-3</v>
      </c>
      <c r="AA16">
        <v>4.8235999999999999E-3</v>
      </c>
      <c r="AB16">
        <v>2.7082500000000002E-3</v>
      </c>
      <c r="AC16">
        <v>2.8973100000000002E-3</v>
      </c>
      <c r="AD16">
        <v>2.6606999999999998E-3</v>
      </c>
      <c r="AE16">
        <v>2.9668899999999998E-3</v>
      </c>
      <c r="AF16" t="s">
        <v>504</v>
      </c>
      <c r="AH16">
        <v>1</v>
      </c>
      <c r="AK16">
        <v>1</v>
      </c>
      <c r="AM16">
        <f t="shared" si="0"/>
        <v>9.5377456155915016E-2</v>
      </c>
      <c r="AN16">
        <f t="shared" si="1"/>
        <v>8.5784257266606018E-2</v>
      </c>
      <c r="AO16">
        <f t="shared" si="2"/>
        <v>8.0113670735400017E-2</v>
      </c>
      <c r="AP16">
        <f t="shared" si="3"/>
        <v>9.339462105883202E-2</v>
      </c>
      <c r="AQ16">
        <f t="shared" si="4"/>
        <v>8.0944817449707024E-2</v>
      </c>
      <c r="AR16">
        <f t="shared" si="5"/>
        <v>7.6413741327441026E-2</v>
      </c>
      <c r="AS16">
        <f t="shared" si="6"/>
        <v>8.762617580930103E-2</v>
      </c>
      <c r="AT16">
        <f t="shared" si="7"/>
        <v>8.5601152731429014E-2</v>
      </c>
      <c r="AU16">
        <f t="shared" si="8"/>
        <v>7.7701562060598028E-2</v>
      </c>
      <c r="AV16">
        <f t="shared" si="9"/>
        <v>9.0468862844733017E-2</v>
      </c>
      <c r="AW16">
        <f t="shared" si="10"/>
        <v>9.4046577586695018E-2</v>
      </c>
      <c r="AX16">
        <f t="shared" si="11"/>
        <v>9.9340516784259009E-2</v>
      </c>
      <c r="AY16">
        <f t="shared" si="12"/>
        <v>8.1204904176633022E-2</v>
      </c>
      <c r="AZ16">
        <f t="shared" si="13"/>
        <v>0.10038042876432601</v>
      </c>
      <c r="BA16">
        <f t="shared" si="14"/>
        <v>9.8033994162711025E-2</v>
      </c>
      <c r="BB16">
        <f t="shared" si="15"/>
        <v>0.10983880008616501</v>
      </c>
      <c r="BC16">
        <f t="shared" si="16"/>
        <v>0.13228976470810502</v>
      </c>
      <c r="BD16">
        <f t="shared" si="17"/>
        <v>0.12267177494348702</v>
      </c>
      <c r="BE16">
        <f t="shared" si="18"/>
        <v>0.15814229837902202</v>
      </c>
      <c r="BF16">
        <f t="shared" si="19"/>
        <v>0.16994927894066103</v>
      </c>
      <c r="BG16">
        <f t="shared" si="20"/>
        <v>0.21298406383890006</v>
      </c>
      <c r="BH16">
        <f t="shared" si="21"/>
        <v>0.18264742623051303</v>
      </c>
      <c r="BI16">
        <f t="shared" si="22"/>
        <v>0.20979169498332007</v>
      </c>
      <c r="BJ16">
        <f t="shared" si="23"/>
        <v>0.11778927729052503</v>
      </c>
      <c r="BK16">
        <f t="shared" si="24"/>
        <v>0.12601201919564703</v>
      </c>
      <c r="BL16">
        <f t="shared" si="25"/>
        <v>0.11572119637659001</v>
      </c>
      <c r="BM16">
        <f t="shared" si="26"/>
        <v>0.12903824569389302</v>
      </c>
    </row>
    <row r="17" spans="2:65" x14ac:dyDescent="0.3">
      <c r="B17">
        <v>14</v>
      </c>
      <c r="C17">
        <v>3.6869999999999998</v>
      </c>
      <c r="D17">
        <v>3.64</v>
      </c>
      <c r="E17">
        <v>0.21890899999999999</v>
      </c>
      <c r="F17">
        <v>0.26239200000000001</v>
      </c>
      <c r="G17">
        <v>0.27978399999999998</v>
      </c>
      <c r="H17">
        <v>0.29153299999999999</v>
      </c>
      <c r="I17">
        <v>0.28245700000000001</v>
      </c>
      <c r="J17">
        <v>0.267903</v>
      </c>
      <c r="K17">
        <v>0.26591100000000001</v>
      </c>
      <c r="L17">
        <v>0.27587800000000001</v>
      </c>
      <c r="M17">
        <v>0.26664199999999999</v>
      </c>
      <c r="N17">
        <v>0.27515600000000001</v>
      </c>
      <c r="O17">
        <v>0.27945900000000001</v>
      </c>
      <c r="P17">
        <v>0.27777499999999999</v>
      </c>
      <c r="Q17">
        <v>0.26679199999999997</v>
      </c>
      <c r="R17">
        <v>0.28317199999999998</v>
      </c>
      <c r="S17">
        <v>0.27973300000000001</v>
      </c>
      <c r="T17">
        <v>0.288663</v>
      </c>
      <c r="U17">
        <v>0.33136900000000002</v>
      </c>
      <c r="V17">
        <v>0.21001800000000001</v>
      </c>
      <c r="W17">
        <v>0.21881900000000001</v>
      </c>
      <c r="X17">
        <v>0.408499</v>
      </c>
      <c r="Y17">
        <v>0.40542600000000001</v>
      </c>
      <c r="Z17">
        <v>0.40271600000000002</v>
      </c>
      <c r="AA17">
        <v>0.39507900000000001</v>
      </c>
      <c r="AB17">
        <v>0.349383</v>
      </c>
      <c r="AC17">
        <v>0.38907000000000003</v>
      </c>
      <c r="AD17">
        <v>0.39549200000000001</v>
      </c>
      <c r="AE17">
        <v>0.34504299999999999</v>
      </c>
      <c r="AF17" t="s">
        <v>34</v>
      </c>
      <c r="AG17" t="s">
        <v>509</v>
      </c>
      <c r="AH17">
        <v>2</v>
      </c>
      <c r="AI17" t="s">
        <v>510</v>
      </c>
      <c r="AJ17" t="s">
        <v>511</v>
      </c>
      <c r="AK17">
        <v>1</v>
      </c>
      <c r="AM17">
        <f t="shared" si="0"/>
        <v>4.7604787044016508</v>
      </c>
      <c r="AN17">
        <f t="shared" si="1"/>
        <v>5.706076626385201</v>
      </c>
      <c r="AO17">
        <f t="shared" si="2"/>
        <v>6.0842896995204008</v>
      </c>
      <c r="AP17">
        <f t="shared" si="3"/>
        <v>6.339787939876051</v>
      </c>
      <c r="AQ17">
        <f t="shared" si="4"/>
        <v>6.1424177782054512</v>
      </c>
      <c r="AR17">
        <f t="shared" si="5"/>
        <v>5.8259209367605518</v>
      </c>
      <c r="AS17">
        <f t="shared" si="6"/>
        <v>5.7826021441153515</v>
      </c>
      <c r="AT17">
        <f t="shared" si="7"/>
        <v>5.9993483320143017</v>
      </c>
      <c r="AU17">
        <f t="shared" si="8"/>
        <v>5.7984987492477007</v>
      </c>
      <c r="AV17">
        <f t="shared" si="9"/>
        <v>5.983647444318601</v>
      </c>
      <c r="AW17">
        <f t="shared" si="10"/>
        <v>6.0772221254191514</v>
      </c>
      <c r="AX17">
        <f t="shared" si="11"/>
        <v>6.0406012183837507</v>
      </c>
      <c r="AY17">
        <f t="shared" si="12"/>
        <v>5.8017607065251999</v>
      </c>
      <c r="AZ17">
        <f t="shared" si="13"/>
        <v>6.1579664412282007</v>
      </c>
      <c r="BA17">
        <f t="shared" si="14"/>
        <v>6.0831806340460517</v>
      </c>
      <c r="BB17">
        <f t="shared" si="15"/>
        <v>6.2773758239665511</v>
      </c>
      <c r="BC17">
        <f t="shared" si="16"/>
        <v>7.2060768072526518</v>
      </c>
      <c r="BD17">
        <f t="shared" si="17"/>
        <v>4.5671316233733013</v>
      </c>
      <c r="BE17">
        <f t="shared" si="18"/>
        <v>4.7585215300351518</v>
      </c>
      <c r="BF17">
        <f t="shared" si="19"/>
        <v>8.8833752393431524</v>
      </c>
      <c r="BG17">
        <f t="shared" si="20"/>
        <v>8.8165486079181008</v>
      </c>
      <c r="BH17">
        <f t="shared" si="21"/>
        <v>8.7576159131046012</v>
      </c>
      <c r="BI17">
        <f t="shared" si="22"/>
        <v>8.5915387949161524</v>
      </c>
      <c r="BJ17">
        <f t="shared" si="23"/>
        <v>7.5978161298985514</v>
      </c>
      <c r="BK17">
        <f t="shared" si="24"/>
        <v>8.4608647863795028</v>
      </c>
      <c r="BL17">
        <f t="shared" si="25"/>
        <v>8.6005200506202026</v>
      </c>
      <c r="BM17">
        <f t="shared" si="26"/>
        <v>7.5034368326695509</v>
      </c>
    </row>
    <row r="18" spans="2:65" x14ac:dyDescent="0.3">
      <c r="B18">
        <v>15</v>
      </c>
      <c r="C18">
        <v>3.2719999999999998</v>
      </c>
      <c r="D18">
        <v>3.2290000000000001</v>
      </c>
      <c r="E18">
        <v>2.1160800000000002</v>
      </c>
      <c r="F18">
        <v>2.0776300000000001</v>
      </c>
      <c r="G18">
        <v>2.0791200000000001</v>
      </c>
      <c r="H18">
        <v>2.0594399999999999</v>
      </c>
      <c r="I18">
        <v>2.0387900000000001</v>
      </c>
      <c r="J18">
        <v>1.9617199999999999</v>
      </c>
      <c r="K18">
        <v>1.93855</v>
      </c>
      <c r="L18">
        <v>1.9534899999999999</v>
      </c>
      <c r="M18">
        <v>1.91733</v>
      </c>
      <c r="N18">
        <v>1.91544</v>
      </c>
      <c r="O18">
        <v>1.8992800000000001</v>
      </c>
      <c r="P18">
        <v>1.8015000000000001</v>
      </c>
      <c r="Q18">
        <v>1.66062</v>
      </c>
      <c r="R18">
        <v>1.52382</v>
      </c>
      <c r="S18">
        <v>1.3446</v>
      </c>
      <c r="T18">
        <v>1.10347</v>
      </c>
      <c r="U18">
        <v>0.78170799999999996</v>
      </c>
      <c r="V18">
        <v>0.212536</v>
      </c>
      <c r="W18">
        <v>4.2832199999999999E-3</v>
      </c>
      <c r="X18">
        <v>4.7313099999999999E-3</v>
      </c>
      <c r="Y18">
        <v>3.9144799999999997E-3</v>
      </c>
      <c r="Z18">
        <v>4.3918999999999998E-3</v>
      </c>
      <c r="AA18">
        <v>4.3888099999999999E-3</v>
      </c>
      <c r="AB18">
        <v>5.0731999999999999E-3</v>
      </c>
      <c r="AC18">
        <v>5.6397399999999999E-3</v>
      </c>
      <c r="AD18">
        <v>6.1459499999999999E-3</v>
      </c>
      <c r="AE18">
        <v>6.2229E-3</v>
      </c>
      <c r="AF18" t="s">
        <v>14</v>
      </c>
      <c r="AG18" t="s">
        <v>505</v>
      </c>
      <c r="AH18">
        <v>1</v>
      </c>
      <c r="AI18" t="s">
        <v>512</v>
      </c>
      <c r="AJ18" t="s">
        <v>513</v>
      </c>
      <c r="AK18">
        <v>1</v>
      </c>
      <c r="AM18">
        <f t="shared" si="0"/>
        <v>92.034167410296021</v>
      </c>
      <c r="AN18">
        <f t="shared" si="1"/>
        <v>90.361870646031008</v>
      </c>
      <c r="AO18">
        <f t="shared" si="2"/>
        <v>90.426674863944015</v>
      </c>
      <c r="AP18">
        <f t="shared" si="3"/>
        <v>89.570737274328025</v>
      </c>
      <c r="AQ18">
        <f t="shared" si="4"/>
        <v>88.67261170392301</v>
      </c>
      <c r="AR18">
        <f t="shared" si="5"/>
        <v>85.320624405564004</v>
      </c>
      <c r="AS18">
        <f t="shared" si="6"/>
        <v>84.312897070635017</v>
      </c>
      <c r="AT18">
        <f t="shared" si="7"/>
        <v>84.962678960313013</v>
      </c>
      <c r="AU18">
        <f t="shared" si="8"/>
        <v>83.389980624921009</v>
      </c>
      <c r="AV18">
        <f t="shared" si="9"/>
        <v>83.307779301528015</v>
      </c>
      <c r="AW18">
        <f t="shared" si="10"/>
        <v>82.604936240136013</v>
      </c>
      <c r="AX18">
        <f t="shared" si="11"/>
        <v>78.352213805550008</v>
      </c>
      <c r="AY18">
        <f t="shared" si="12"/>
        <v>72.224953255494015</v>
      </c>
      <c r="AZ18">
        <f t="shared" si="13"/>
        <v>66.275143181334016</v>
      </c>
      <c r="BA18">
        <f t="shared" si="14"/>
        <v>58.480370071020012</v>
      </c>
      <c r="BB18">
        <f t="shared" si="15"/>
        <v>47.992959960039002</v>
      </c>
      <c r="BC18">
        <f t="shared" si="16"/>
        <v>33.998641326399607</v>
      </c>
      <c r="BD18">
        <f t="shared" si="17"/>
        <v>9.2437780257432021</v>
      </c>
      <c r="BE18">
        <f t="shared" si="18"/>
        <v>0.18628907533511402</v>
      </c>
      <c r="BF18">
        <f t="shared" si="19"/>
        <v>0.20577774782144703</v>
      </c>
      <c r="BG18">
        <f t="shared" si="20"/>
        <v>0.17025155364837602</v>
      </c>
      <c r="BH18">
        <f t="shared" si="21"/>
        <v>0.19101586889403005</v>
      </c>
      <c r="BI18">
        <f t="shared" si="22"/>
        <v>0.19088147625419705</v>
      </c>
      <c r="BJ18">
        <f t="shared" si="23"/>
        <v>0.22064748880284002</v>
      </c>
      <c r="BK18">
        <f t="shared" si="24"/>
        <v>0.24528787914943803</v>
      </c>
      <c r="BL18">
        <f t="shared" si="25"/>
        <v>0.26730435106201506</v>
      </c>
      <c r="BM18">
        <f t="shared" si="26"/>
        <v>0.27065111922873003</v>
      </c>
    </row>
    <row r="19" spans="2:65" hidden="1" x14ac:dyDescent="0.3">
      <c r="B19">
        <v>16</v>
      </c>
      <c r="C19">
        <v>2.9830000000000001</v>
      </c>
      <c r="D19">
        <v>2.9780000000000002</v>
      </c>
      <c r="E19">
        <v>1.9512899999999999E-4</v>
      </c>
      <c r="F19">
        <v>2.6618300000000002E-4</v>
      </c>
      <c r="G19">
        <v>3.0696400000000001E-4</v>
      </c>
      <c r="H19">
        <v>2.7741199999999999E-4</v>
      </c>
      <c r="I19">
        <v>3.3176000000000001E-4</v>
      </c>
      <c r="J19">
        <v>2.8248800000000001E-4</v>
      </c>
      <c r="K19">
        <v>2.5891999999999999E-4</v>
      </c>
      <c r="L19">
        <v>3.4657999999999998E-4</v>
      </c>
      <c r="M19">
        <v>4.9743699999999999E-4</v>
      </c>
      <c r="N19">
        <v>4.8294400000000002E-4</v>
      </c>
      <c r="O19">
        <v>7.1305299999999995E-4</v>
      </c>
      <c r="P19">
        <v>8.5977099999999995E-4</v>
      </c>
      <c r="Q19">
        <v>1.2185200000000001E-3</v>
      </c>
      <c r="R19">
        <v>1.48175E-3</v>
      </c>
      <c r="S19">
        <v>1.9318600000000001E-3</v>
      </c>
      <c r="T19">
        <v>2.8076099999999999E-3</v>
      </c>
      <c r="U19">
        <v>3.6239599999999999E-3</v>
      </c>
      <c r="V19">
        <v>2.74034E-3</v>
      </c>
      <c r="W19">
        <v>1.52725E-3</v>
      </c>
      <c r="X19">
        <v>6.1187600000000002E-4</v>
      </c>
      <c r="Y19">
        <v>5.7915899999999999E-4</v>
      </c>
      <c r="Z19">
        <v>5.1462100000000005E-4</v>
      </c>
      <c r="AA19">
        <v>5.3187500000000001E-4</v>
      </c>
      <c r="AB19">
        <v>4.8375300000000002E-4</v>
      </c>
      <c r="AC19">
        <v>5.4632200000000002E-4</v>
      </c>
      <c r="AD19">
        <v>5.56257E-4</v>
      </c>
      <c r="AE19">
        <v>4.6460199999999999E-4</v>
      </c>
      <c r="AF19" t="s">
        <v>504</v>
      </c>
      <c r="AH19">
        <v>1</v>
      </c>
      <c r="AK19">
        <v>1</v>
      </c>
      <c r="AM19">
        <f t="shared" si="0"/>
        <v>0</v>
      </c>
      <c r="AN19">
        <f t="shared" si="1"/>
        <v>1.1577034319957102E-2</v>
      </c>
      <c r="AO19">
        <f t="shared" si="2"/>
        <v>1.3350712716406803E-2</v>
      </c>
      <c r="AP19">
        <f t="shared" si="3"/>
        <v>1.2065414563544402E-2</v>
      </c>
      <c r="AQ19">
        <f t="shared" si="4"/>
        <v>1.4429159285112002E-2</v>
      </c>
      <c r="AR19">
        <f t="shared" si="5"/>
        <v>1.2286183832085601E-2</v>
      </c>
      <c r="AS19">
        <f t="shared" si="6"/>
        <v>1.1261146377204002E-2</v>
      </c>
      <c r="AT19">
        <f t="shared" si="7"/>
        <v>1.5073722043146002E-2</v>
      </c>
      <c r="AU19">
        <f t="shared" si="8"/>
        <v>2.1634909896636901E-2</v>
      </c>
      <c r="AV19">
        <f t="shared" si="9"/>
        <v>2.1004569272332806E-2</v>
      </c>
      <c r="AW19">
        <f t="shared" si="10"/>
        <v>3.1012645634576105E-2</v>
      </c>
      <c r="AX19">
        <f t="shared" si="11"/>
        <v>3.7393816939112701E-2</v>
      </c>
      <c r="AY19">
        <f t="shared" si="12"/>
        <v>5.299680242372401E-2</v>
      </c>
      <c r="AZ19">
        <f t="shared" si="13"/>
        <v>6.4445402612475014E-2</v>
      </c>
      <c r="BA19">
        <f t="shared" si="14"/>
        <v>8.4021930481482016E-2</v>
      </c>
      <c r="BB19">
        <f t="shared" si="15"/>
        <v>0.12211071829175703</v>
      </c>
      <c r="BC19">
        <f t="shared" si="16"/>
        <v>0.15761603593825202</v>
      </c>
      <c r="BD19">
        <f t="shared" si="17"/>
        <v>0.11918496007765801</v>
      </c>
      <c r="BE19">
        <f t="shared" si="18"/>
        <v>6.6424323360825016E-2</v>
      </c>
      <c r="BF19">
        <f t="shared" si="19"/>
        <v>2.6612178281701204E-2</v>
      </c>
      <c r="BG19">
        <f t="shared" si="20"/>
        <v>2.5189225531728303E-2</v>
      </c>
      <c r="BH19">
        <f t="shared" si="21"/>
        <v>2.2382289548057703E-2</v>
      </c>
      <c r="BI19">
        <f t="shared" si="22"/>
        <v>2.3132713692937505E-2</v>
      </c>
      <c r="BJ19">
        <f t="shared" si="23"/>
        <v>2.1039754918166106E-2</v>
      </c>
      <c r="BK19">
        <f t="shared" si="24"/>
        <v>2.3761053650111406E-2</v>
      </c>
      <c r="BL19">
        <f t="shared" si="25"/>
        <v>2.4193154257470904E-2</v>
      </c>
      <c r="BM19">
        <f t="shared" si="26"/>
        <v>2.0206825000547404E-2</v>
      </c>
    </row>
    <row r="20" spans="2:65" hidden="1" x14ac:dyDescent="0.3">
      <c r="B20">
        <v>17</v>
      </c>
      <c r="C20">
        <v>2.972</v>
      </c>
      <c r="D20">
        <v>2.9670000000000001</v>
      </c>
      <c r="E20">
        <v>1.7659300000000001E-4</v>
      </c>
      <c r="F20">
        <v>2.5157400000000001E-4</v>
      </c>
      <c r="G20">
        <v>2.85851E-4</v>
      </c>
      <c r="H20">
        <v>2.51411E-4</v>
      </c>
      <c r="I20">
        <v>3.0374699999999999E-4</v>
      </c>
      <c r="J20">
        <v>2.8979500000000003E-4</v>
      </c>
      <c r="K20">
        <v>2.2932399999999999E-4</v>
      </c>
      <c r="L20">
        <v>3.5772499999999998E-4</v>
      </c>
      <c r="M20">
        <v>4.67109E-4</v>
      </c>
      <c r="N20">
        <v>4.3604599999999999E-4</v>
      </c>
      <c r="O20">
        <v>6.2962900000000004E-4</v>
      </c>
      <c r="P20">
        <v>8.8510800000000001E-4</v>
      </c>
      <c r="Q20">
        <v>1.1557399999999999E-3</v>
      </c>
      <c r="R20">
        <v>1.42679E-3</v>
      </c>
      <c r="S20">
        <v>1.8154099999999999E-3</v>
      </c>
      <c r="T20">
        <v>2.6522899999999999E-3</v>
      </c>
      <c r="U20">
        <v>3.42158E-3</v>
      </c>
      <c r="V20">
        <v>2.7100700000000002E-3</v>
      </c>
      <c r="W20">
        <v>1.43377E-3</v>
      </c>
      <c r="X20">
        <v>7.1486900000000003E-4</v>
      </c>
      <c r="Y20">
        <v>5.7671999999999997E-4</v>
      </c>
      <c r="Z20">
        <v>4.6102099999999999E-4</v>
      </c>
      <c r="AA20">
        <v>5.0547999999999999E-4</v>
      </c>
      <c r="AB20">
        <v>4.3784500000000002E-4</v>
      </c>
      <c r="AC20">
        <v>4.90015E-4</v>
      </c>
      <c r="AD20">
        <v>5.5069199999999998E-4</v>
      </c>
      <c r="AE20">
        <v>4.6183800000000001E-4</v>
      </c>
      <c r="AF20" t="s">
        <v>504</v>
      </c>
      <c r="AH20">
        <v>1</v>
      </c>
      <c r="AK20">
        <v>11</v>
      </c>
      <c r="AM20">
        <f t="shared" si="0"/>
        <v>0</v>
      </c>
      <c r="AN20">
        <f t="shared" si="1"/>
        <v>0</v>
      </c>
      <c r="AO20">
        <f t="shared" si="2"/>
        <v>0</v>
      </c>
      <c r="AP20">
        <f t="shared" si="3"/>
        <v>0</v>
      </c>
      <c r="AQ20">
        <f t="shared" si="4"/>
        <v>0</v>
      </c>
      <c r="AR20">
        <f t="shared" si="5"/>
        <v>0</v>
      </c>
      <c r="AS20">
        <f t="shared" si="6"/>
        <v>0</v>
      </c>
      <c r="AT20">
        <f t="shared" si="7"/>
        <v>0</v>
      </c>
      <c r="AU20">
        <f t="shared" si="8"/>
        <v>0</v>
      </c>
      <c r="AV20">
        <f t="shared" si="9"/>
        <v>0</v>
      </c>
      <c r="AW20">
        <f t="shared" si="10"/>
        <v>0</v>
      </c>
      <c r="AX20">
        <f t="shared" si="11"/>
        <v>0</v>
      </c>
      <c r="AY20">
        <f t="shared" si="12"/>
        <v>0</v>
      </c>
      <c r="AZ20">
        <f t="shared" si="13"/>
        <v>0</v>
      </c>
      <c r="BA20">
        <f t="shared" si="14"/>
        <v>0</v>
      </c>
      <c r="BB20">
        <f t="shared" si="15"/>
        <v>1.0486856566715729E-2</v>
      </c>
      <c r="BC20">
        <f t="shared" si="16"/>
        <v>1.3528542765513274E-2</v>
      </c>
      <c r="BD20">
        <f t="shared" si="17"/>
        <v>1.0715312192769002E-2</v>
      </c>
      <c r="BE20">
        <f t="shared" si="18"/>
        <v>0</v>
      </c>
      <c r="BF20">
        <f t="shared" si="19"/>
        <v>0</v>
      </c>
      <c r="BG20">
        <f t="shared" si="20"/>
        <v>0</v>
      </c>
      <c r="BH20">
        <f t="shared" si="21"/>
        <v>0</v>
      </c>
      <c r="BI20">
        <f t="shared" si="22"/>
        <v>0</v>
      </c>
      <c r="BJ20">
        <f t="shared" si="23"/>
        <v>0</v>
      </c>
      <c r="BK20">
        <f t="shared" si="24"/>
        <v>0</v>
      </c>
      <c r="BL20">
        <f t="shared" si="25"/>
        <v>0</v>
      </c>
      <c r="BM20">
        <f t="shared" si="26"/>
        <v>0</v>
      </c>
    </row>
    <row r="21" spans="2:65" x14ac:dyDescent="0.3">
      <c r="B21">
        <v>18</v>
      </c>
      <c r="C21">
        <v>2.6739999999999999</v>
      </c>
      <c r="D21">
        <v>2.653</v>
      </c>
      <c r="E21">
        <v>6.46538E-4</v>
      </c>
      <c r="F21">
        <v>7.4637599999999998E-4</v>
      </c>
      <c r="G21">
        <v>1.1466200000000001E-3</v>
      </c>
      <c r="H21">
        <v>9.4731500000000001E-4</v>
      </c>
      <c r="I21">
        <v>1.0077599999999999E-3</v>
      </c>
      <c r="J21">
        <v>9.27449E-4</v>
      </c>
      <c r="K21">
        <v>9.0395999999999998E-4</v>
      </c>
      <c r="L21">
        <v>8.6267699999999995E-4</v>
      </c>
      <c r="M21">
        <v>9.9054900000000007E-4</v>
      </c>
      <c r="N21">
        <v>1.3425500000000001E-3</v>
      </c>
      <c r="O21">
        <v>2.1603199999999999E-3</v>
      </c>
      <c r="P21">
        <v>2.3468199999999999E-3</v>
      </c>
      <c r="Q21">
        <v>3.0290199999999999E-3</v>
      </c>
      <c r="R21">
        <v>4.3450299999999997E-3</v>
      </c>
      <c r="S21">
        <v>5.9371700000000003E-3</v>
      </c>
      <c r="T21">
        <v>8.25854E-3</v>
      </c>
      <c r="U21">
        <v>1.3445500000000001E-2</v>
      </c>
      <c r="V21">
        <v>1.3621299999999999E-2</v>
      </c>
      <c r="W21">
        <v>2.6339499999999998E-2</v>
      </c>
      <c r="X21">
        <v>2.8130499999999999E-2</v>
      </c>
      <c r="Y21">
        <v>2.7678600000000001E-2</v>
      </c>
      <c r="Z21">
        <v>2.9089799999999999E-2</v>
      </c>
      <c r="AA21">
        <v>2.7733899999999999E-2</v>
      </c>
      <c r="AB21">
        <v>2.5563200000000001E-2</v>
      </c>
      <c r="AC21">
        <v>2.8335099999999998E-2</v>
      </c>
      <c r="AD21">
        <v>2.98369E-2</v>
      </c>
      <c r="AE21">
        <v>3.0129699999999999E-2</v>
      </c>
      <c r="AF21" t="s">
        <v>514</v>
      </c>
      <c r="AG21" t="s">
        <v>500</v>
      </c>
      <c r="AH21">
        <v>1</v>
      </c>
      <c r="AI21" t="s">
        <v>496</v>
      </c>
      <c r="AJ21" t="s">
        <v>515</v>
      </c>
      <c r="AK21">
        <v>1</v>
      </c>
      <c r="AM21">
        <f t="shared" si="0"/>
        <v>2.8119724457070606E-2</v>
      </c>
      <c r="AN21">
        <f t="shared" si="1"/>
        <v>3.2461954999351207E-2</v>
      </c>
      <c r="AO21">
        <f t="shared" si="2"/>
        <v>4.9869672713694017E-2</v>
      </c>
      <c r="AP21">
        <f t="shared" si="3"/>
        <v>4.1201347444465505E-2</v>
      </c>
      <c r="AQ21">
        <f t="shared" si="4"/>
        <v>4.3830267546312002E-2</v>
      </c>
      <c r="AR21">
        <f t="shared" si="5"/>
        <v>4.0337320200801309E-2</v>
      </c>
      <c r="AS21">
        <f t="shared" si="6"/>
        <v>3.9315718674252008E-2</v>
      </c>
      <c r="AT21">
        <f t="shared" si="7"/>
        <v>3.7520206910424909E-2</v>
      </c>
      <c r="AU21">
        <f t="shared" si="8"/>
        <v>4.3081713590271312E-2</v>
      </c>
      <c r="AV21">
        <f t="shared" si="9"/>
        <v>5.8391209905435018E-2</v>
      </c>
      <c r="AW21">
        <f t="shared" si="10"/>
        <v>9.3958287276384014E-2</v>
      </c>
      <c r="AX21">
        <f t="shared" si="11"/>
        <v>0.10206968770643401</v>
      </c>
      <c r="AY21">
        <f t="shared" si="12"/>
        <v>0.13174045110257401</v>
      </c>
      <c r="AZ21">
        <f t="shared" si="13"/>
        <v>0.18897736305941104</v>
      </c>
      <c r="BA21">
        <f t="shared" si="14"/>
        <v>0.25822393185672904</v>
      </c>
      <c r="BB21">
        <f t="shared" si="15"/>
        <v>0.35918672872699808</v>
      </c>
      <c r="BC21">
        <f t="shared" si="16"/>
        <v>0.58478195432835012</v>
      </c>
      <c r="BD21">
        <f t="shared" si="17"/>
        <v>0.59242798218681003</v>
      </c>
      <c r="BE21">
        <f t="shared" si="18"/>
        <v>1.14557764947615</v>
      </c>
      <c r="BF21">
        <f t="shared" si="19"/>
        <v>1.2234731892628501</v>
      </c>
      <c r="BG21">
        <f t="shared" si="20"/>
        <v>1.2038188093468203</v>
      </c>
      <c r="BH21">
        <f t="shared" si="21"/>
        <v>1.2651957974802603</v>
      </c>
      <c r="BI21">
        <f t="shared" si="22"/>
        <v>1.2062239591794301</v>
      </c>
      <c r="BJ21">
        <f t="shared" si="23"/>
        <v>1.1118142170158403</v>
      </c>
      <c r="BK21">
        <f t="shared" si="24"/>
        <v>1.2323718087158699</v>
      </c>
      <c r="BL21">
        <f t="shared" si="25"/>
        <v>1.2976892412405303</v>
      </c>
      <c r="BM21">
        <f t="shared" si="26"/>
        <v>1.3104239224518903</v>
      </c>
    </row>
    <row r="22" spans="2:65" x14ac:dyDescent="0.3">
      <c r="B22">
        <v>19</v>
      </c>
      <c r="C22">
        <v>2.5830000000000002</v>
      </c>
      <c r="D22">
        <v>2.5630000000000002</v>
      </c>
      <c r="E22">
        <v>5.8301999999999996E-4</v>
      </c>
      <c r="F22">
        <v>5.5358299999999996E-4</v>
      </c>
      <c r="G22">
        <v>5.12869E-4</v>
      </c>
      <c r="H22">
        <v>6.1338300000000001E-4</v>
      </c>
      <c r="I22">
        <v>6.31665E-4</v>
      </c>
      <c r="J22">
        <v>6.3551899999999997E-4</v>
      </c>
      <c r="K22">
        <v>7.5124199999999995E-4</v>
      </c>
      <c r="L22">
        <v>7.6381799999999998E-4</v>
      </c>
      <c r="M22">
        <v>8.6847200000000002E-4</v>
      </c>
      <c r="N22">
        <v>9.3057000000000003E-4</v>
      </c>
      <c r="O22">
        <v>1.34191E-3</v>
      </c>
      <c r="P22">
        <v>1.2967199999999999E-3</v>
      </c>
      <c r="Q22">
        <v>1.2303100000000001E-3</v>
      </c>
      <c r="R22">
        <v>1.6772499999999999E-3</v>
      </c>
      <c r="S22">
        <v>2.3144099999999998E-3</v>
      </c>
      <c r="T22">
        <v>2.57589E-3</v>
      </c>
      <c r="U22">
        <v>3.9045500000000001E-3</v>
      </c>
      <c r="V22">
        <v>3.54047E-3</v>
      </c>
      <c r="W22">
        <v>5.69259E-3</v>
      </c>
      <c r="X22">
        <v>6.3261300000000001E-3</v>
      </c>
      <c r="Y22">
        <v>6.6191499999999999E-3</v>
      </c>
      <c r="Z22">
        <v>6.6345199999999997E-3</v>
      </c>
      <c r="AA22">
        <v>6.5792000000000003E-3</v>
      </c>
      <c r="AB22">
        <v>5.8766199999999999E-3</v>
      </c>
      <c r="AC22">
        <v>6.5134399999999997E-3</v>
      </c>
      <c r="AD22">
        <v>6.5975599999999997E-3</v>
      </c>
      <c r="AE22">
        <v>6.1621100000000002E-3</v>
      </c>
      <c r="AF22" t="s">
        <v>516</v>
      </c>
      <c r="AG22" t="s">
        <v>517</v>
      </c>
      <c r="AH22">
        <v>2</v>
      </c>
      <c r="AI22" t="s">
        <v>496</v>
      </c>
      <c r="AJ22" t="s">
        <v>518</v>
      </c>
      <c r="AK22">
        <v>1</v>
      </c>
      <c r="AM22">
        <f t="shared" si="0"/>
        <v>1.2678575546187001E-2</v>
      </c>
      <c r="AN22">
        <f t="shared" si="1"/>
        <v>1.2038427303668551E-2</v>
      </c>
      <c r="AO22">
        <f t="shared" si="2"/>
        <v>1.1153045113027652E-2</v>
      </c>
      <c r="AP22">
        <f t="shared" si="3"/>
        <v>1.3338860938298553E-2</v>
      </c>
      <c r="AQ22">
        <f t="shared" si="4"/>
        <v>1.3736428291280254E-2</v>
      </c>
      <c r="AR22">
        <f t="shared" si="5"/>
        <v>1.3820238846930153E-2</v>
      </c>
      <c r="AS22">
        <f t="shared" si="6"/>
        <v>1.6336795393757701E-2</v>
      </c>
      <c r="AT22">
        <f t="shared" si="7"/>
        <v>1.6610277891903304E-2</v>
      </c>
      <c r="AU22">
        <f t="shared" si="8"/>
        <v>1.8886123738033202E-2</v>
      </c>
      <c r="AV22">
        <f t="shared" si="9"/>
        <v>2.0236530558154504E-2</v>
      </c>
      <c r="AW22">
        <f t="shared" si="10"/>
        <v>2.9181687268333503E-2</v>
      </c>
      <c r="AX22">
        <f t="shared" si="11"/>
        <v>2.8198968272532002E-2</v>
      </c>
      <c r="AY22">
        <f t="shared" si="12"/>
        <v>2.6754791053873506E-2</v>
      </c>
      <c r="AZ22">
        <f t="shared" si="13"/>
        <v>3.6474118957912506E-2</v>
      </c>
      <c r="BA22">
        <f t="shared" si="14"/>
        <v>5.0330043617458506E-2</v>
      </c>
      <c r="BB22">
        <f t="shared" si="15"/>
        <v>5.6016287543596506E-2</v>
      </c>
      <c r="BC22">
        <f t="shared" si="16"/>
        <v>8.490983525241752E-2</v>
      </c>
      <c r="BD22">
        <f t="shared" si="17"/>
        <v>7.6992412548469516E-2</v>
      </c>
      <c r="BE22">
        <f t="shared" si="18"/>
        <v>0.12379323585549153</v>
      </c>
      <c r="BF22">
        <f t="shared" si="19"/>
        <v>0.13757043861274054</v>
      </c>
      <c r="BG22">
        <f t="shared" si="20"/>
        <v>0.14394256342242753</v>
      </c>
      <c r="BH22">
        <f t="shared" si="21"/>
        <v>0.14427680531146203</v>
      </c>
      <c r="BI22">
        <f t="shared" si="22"/>
        <v>0.14307379546752003</v>
      </c>
      <c r="BJ22">
        <f t="shared" si="23"/>
        <v>0.12779522250734701</v>
      </c>
      <c r="BK22">
        <f t="shared" si="24"/>
        <v>0.14164375339706403</v>
      </c>
      <c r="BL22">
        <f t="shared" si="25"/>
        <v>0.14347305903828603</v>
      </c>
      <c r="BM22">
        <f t="shared" si="26"/>
        <v>0.13400359706170353</v>
      </c>
    </row>
    <row r="23" spans="2:65" x14ac:dyDescent="0.3">
      <c r="B23">
        <v>20</v>
      </c>
      <c r="C23">
        <v>2.4169999999999998</v>
      </c>
      <c r="D23">
        <v>2.4009999999999998</v>
      </c>
      <c r="E23">
        <v>5.8564000000000001E-4</v>
      </c>
      <c r="F23">
        <v>8.1446999999999997E-4</v>
      </c>
      <c r="G23">
        <v>8.2113200000000003E-4</v>
      </c>
      <c r="H23">
        <v>9.0353000000000004E-4</v>
      </c>
      <c r="I23">
        <v>6.0517999999999998E-4</v>
      </c>
      <c r="J23">
        <v>5.6353299999999996E-4</v>
      </c>
      <c r="K23">
        <v>4.5702500000000001E-4</v>
      </c>
      <c r="L23">
        <v>4.72955E-4</v>
      </c>
      <c r="M23">
        <v>6.2590599999999997E-4</v>
      </c>
      <c r="N23">
        <v>1.3435999999999999E-3</v>
      </c>
      <c r="O23">
        <v>2.0567300000000001E-3</v>
      </c>
      <c r="P23">
        <v>3.6060100000000002E-3</v>
      </c>
      <c r="Q23">
        <v>3.7294099999999998E-3</v>
      </c>
      <c r="R23">
        <v>1.33572E-2</v>
      </c>
      <c r="S23">
        <v>1.16986E-2</v>
      </c>
      <c r="T23">
        <v>2.0004399999999999E-2</v>
      </c>
      <c r="U23">
        <v>5.7604799999999998E-2</v>
      </c>
      <c r="V23">
        <v>3.22799E-2</v>
      </c>
      <c r="W23">
        <v>7.1396500000000002E-2</v>
      </c>
      <c r="X23">
        <v>1.4854600000000001E-2</v>
      </c>
      <c r="Y23">
        <v>3.8502300000000001E-3</v>
      </c>
      <c r="Z23">
        <v>4.0625399999999999E-3</v>
      </c>
      <c r="AA23">
        <v>4.0476899999999996E-3</v>
      </c>
      <c r="AB23">
        <v>4.7299300000000002E-3</v>
      </c>
      <c r="AC23">
        <v>4.2987600000000004E-3</v>
      </c>
      <c r="AD23">
        <v>4.7996599999999999E-3</v>
      </c>
      <c r="AE23">
        <v>4.6308599999999997E-3</v>
      </c>
      <c r="AF23" t="s">
        <v>519</v>
      </c>
      <c r="AG23" t="s">
        <v>520</v>
      </c>
      <c r="AH23">
        <v>4</v>
      </c>
      <c r="AI23" t="s">
        <v>493</v>
      </c>
      <c r="AJ23">
        <v>1</v>
      </c>
      <c r="AK23">
        <v>1</v>
      </c>
      <c r="AM23">
        <f t="shared" si="0"/>
        <v>0</v>
      </c>
      <c r="AN23">
        <f t="shared" si="1"/>
        <v>0</v>
      </c>
      <c r="AO23">
        <f t="shared" si="2"/>
        <v>0</v>
      </c>
      <c r="AP23">
        <f t="shared" si="3"/>
        <v>0</v>
      </c>
      <c r="AQ23">
        <f t="shared" si="4"/>
        <v>0</v>
      </c>
      <c r="AR23">
        <f t="shared" si="5"/>
        <v>0</v>
      </c>
      <c r="AS23">
        <f t="shared" si="6"/>
        <v>0</v>
      </c>
      <c r="AT23">
        <f t="shared" si="7"/>
        <v>0</v>
      </c>
      <c r="AU23">
        <f t="shared" si="8"/>
        <v>0</v>
      </c>
      <c r="AV23">
        <f t="shared" si="9"/>
        <v>1.460921932683E-2</v>
      </c>
      <c r="AW23">
        <f t="shared" si="10"/>
        <v>2.2363217971175256E-2</v>
      </c>
      <c r="AX23">
        <f t="shared" si="11"/>
        <v>3.9208835207459262E-2</v>
      </c>
      <c r="AY23">
        <f t="shared" si="12"/>
        <v>4.0550586967604253E-2</v>
      </c>
      <c r="AZ23">
        <f t="shared" si="13"/>
        <v>0.14523538582341</v>
      </c>
      <c r="BA23">
        <f t="shared" si="14"/>
        <v>0.12720111135520504</v>
      </c>
      <c r="BB23">
        <f t="shared" si="15"/>
        <v>0.21751166054007004</v>
      </c>
      <c r="BC23">
        <f t="shared" si="16"/>
        <v>0.62634798859644003</v>
      </c>
      <c r="BD23">
        <f t="shared" si="17"/>
        <v>0.35098551573990755</v>
      </c>
      <c r="BE23">
        <f t="shared" si="18"/>
        <v>0.77630777587676258</v>
      </c>
      <c r="BF23">
        <f t="shared" si="19"/>
        <v>0.16151690191450505</v>
      </c>
      <c r="BG23">
        <f t="shared" si="20"/>
        <v>4.1864285895162764E-2</v>
      </c>
      <c r="BH23">
        <f t="shared" si="21"/>
        <v>4.4172773060449505E-2</v>
      </c>
      <c r="BI23">
        <f t="shared" si="22"/>
        <v>4.4011306175213261E-2</v>
      </c>
      <c r="BJ23">
        <f t="shared" si="23"/>
        <v>5.1429431951885263E-2</v>
      </c>
      <c r="BK23">
        <f t="shared" si="24"/>
        <v>4.6741238220753011E-2</v>
      </c>
      <c r="BL23">
        <f t="shared" si="25"/>
        <v>5.218761955508551E-2</v>
      </c>
      <c r="BM23">
        <f t="shared" si="26"/>
        <v>5.0352224926945501E-2</v>
      </c>
    </row>
    <row r="24" spans="2:65" x14ac:dyDescent="0.3">
      <c r="B24">
        <v>21</v>
      </c>
      <c r="C24">
        <v>2.3809999999999998</v>
      </c>
      <c r="D24">
        <v>2.3730000000000002</v>
      </c>
      <c r="E24">
        <v>2.5647099999999998E-4</v>
      </c>
      <c r="F24">
        <v>2.8197399999999999E-4</v>
      </c>
      <c r="G24">
        <v>2.60955E-4</v>
      </c>
      <c r="H24">
        <v>2.96046E-4</v>
      </c>
      <c r="I24">
        <v>2.8908200000000002E-4</v>
      </c>
      <c r="J24">
        <v>2.5306900000000003E-4</v>
      </c>
      <c r="K24">
        <v>2.6831899999999999E-4</v>
      </c>
      <c r="L24">
        <v>2.64708E-4</v>
      </c>
      <c r="M24">
        <v>3.2051999999999997E-4</v>
      </c>
      <c r="N24">
        <v>4.1816999999999999E-4</v>
      </c>
      <c r="O24">
        <v>6.2147999999999999E-4</v>
      </c>
      <c r="P24">
        <v>7.1873200000000003E-4</v>
      </c>
      <c r="Q24">
        <v>7.5804500000000005E-4</v>
      </c>
      <c r="R24">
        <v>1.3076699999999999E-3</v>
      </c>
      <c r="S24">
        <v>1.0813000000000001E-3</v>
      </c>
      <c r="T24">
        <v>1.72485E-3</v>
      </c>
      <c r="U24">
        <v>3.7532199999999998E-3</v>
      </c>
      <c r="V24">
        <v>3.37281E-3</v>
      </c>
      <c r="W24">
        <v>1.78549E-3</v>
      </c>
      <c r="X24">
        <v>1.53155E-3</v>
      </c>
      <c r="Y24">
        <v>1.2075300000000001E-3</v>
      </c>
      <c r="Z24">
        <v>9.9465300000000007E-4</v>
      </c>
      <c r="AA24">
        <v>9.75781E-4</v>
      </c>
      <c r="AB24">
        <v>8.8349800000000003E-4</v>
      </c>
      <c r="AC24">
        <v>9.7021800000000001E-4</v>
      </c>
      <c r="AD24">
        <v>1.0901699999999999E-3</v>
      </c>
      <c r="AE24">
        <v>1.02619E-3</v>
      </c>
      <c r="AF24" t="s">
        <v>538</v>
      </c>
      <c r="AG24" t="s">
        <v>521</v>
      </c>
      <c r="AH24">
        <v>3</v>
      </c>
      <c r="AI24" t="s">
        <v>493</v>
      </c>
      <c r="AJ24">
        <v>1</v>
      </c>
      <c r="AK24">
        <v>1</v>
      </c>
      <c r="AM24">
        <f t="shared" si="0"/>
        <v>0</v>
      </c>
      <c r="AN24">
        <f t="shared" si="1"/>
        <v>0</v>
      </c>
      <c r="AO24">
        <f t="shared" si="2"/>
        <v>0</v>
      </c>
      <c r="AP24">
        <f t="shared" si="3"/>
        <v>0</v>
      </c>
      <c r="AQ24">
        <f t="shared" si="4"/>
        <v>0</v>
      </c>
      <c r="AR24">
        <f t="shared" si="5"/>
        <v>0</v>
      </c>
      <c r="AS24">
        <f t="shared" si="6"/>
        <v>0</v>
      </c>
      <c r="AT24">
        <f t="shared" si="7"/>
        <v>0</v>
      </c>
      <c r="AU24">
        <f t="shared" si="8"/>
        <v>0</v>
      </c>
      <c r="AV24">
        <f t="shared" si="9"/>
        <v>0</v>
      </c>
      <c r="AW24">
        <f t="shared" si="10"/>
        <v>0</v>
      </c>
      <c r="AX24">
        <f t="shared" si="11"/>
        <v>1.0419880346542803E-2</v>
      </c>
      <c r="AY24">
        <f t="shared" si="12"/>
        <v>1.0989824019655503E-2</v>
      </c>
      <c r="AZ24">
        <f t="shared" si="13"/>
        <v>1.8958060769193003E-2</v>
      </c>
      <c r="BA24">
        <f t="shared" si="14"/>
        <v>1.5676241796270005E-2</v>
      </c>
      <c r="BB24">
        <f t="shared" si="15"/>
        <v>2.5006164489315003E-2</v>
      </c>
      <c r="BC24">
        <f t="shared" si="16"/>
        <v>5.4412636858038009E-2</v>
      </c>
      <c r="BD24">
        <f t="shared" si="17"/>
        <v>4.8897609444999011E-2</v>
      </c>
      <c r="BE24">
        <f t="shared" si="18"/>
        <v>2.5885298219571008E-2</v>
      </c>
      <c r="BF24">
        <f t="shared" si="19"/>
        <v>2.2203780748245004E-2</v>
      </c>
      <c r="BG24">
        <f t="shared" si="20"/>
        <v>1.7506272316887006E-2</v>
      </c>
      <c r="BH24">
        <f t="shared" si="21"/>
        <v>1.4420069297498703E-2</v>
      </c>
      <c r="BI24">
        <f t="shared" si="22"/>
        <v>1.4146470818649903E-2</v>
      </c>
      <c r="BJ24">
        <f t="shared" si="23"/>
        <v>1.2808589914474202E-2</v>
      </c>
      <c r="BK24">
        <f t="shared" si="24"/>
        <v>1.4065820737162203E-2</v>
      </c>
      <c r="BL24">
        <f t="shared" si="25"/>
        <v>1.5804835400943001E-2</v>
      </c>
      <c r="BM24">
        <f t="shared" si="26"/>
        <v>1.4877279727101003E-2</v>
      </c>
    </row>
    <row r="25" spans="2:65" x14ac:dyDescent="0.3">
      <c r="B25">
        <v>22</v>
      </c>
      <c r="C25">
        <v>2.1960000000000002</v>
      </c>
      <c r="D25">
        <v>2.1880000000000002</v>
      </c>
      <c r="E25">
        <v>2.5336999999999999E-4</v>
      </c>
      <c r="F25">
        <v>3.5053800000000001E-4</v>
      </c>
      <c r="G25">
        <v>2.73563E-4</v>
      </c>
      <c r="H25">
        <v>3.3785899999999998E-4</v>
      </c>
      <c r="I25">
        <v>4.1506399999999998E-4</v>
      </c>
      <c r="J25">
        <v>3.6323300000000002E-4</v>
      </c>
      <c r="K25">
        <v>4.4514400000000002E-4</v>
      </c>
      <c r="L25">
        <v>5.7516299999999995E-4</v>
      </c>
      <c r="M25">
        <v>6.7347999999999996E-4</v>
      </c>
      <c r="N25">
        <v>9.5955499999999996E-4</v>
      </c>
      <c r="O25">
        <v>1.33091E-3</v>
      </c>
      <c r="P25">
        <v>1.6940600000000001E-3</v>
      </c>
      <c r="Q25">
        <v>2.2407400000000002E-3</v>
      </c>
      <c r="R25">
        <v>2.9749799999999999E-3</v>
      </c>
      <c r="S25">
        <v>3.8557999999999999E-3</v>
      </c>
      <c r="T25">
        <v>4.8833399999999999E-3</v>
      </c>
      <c r="U25">
        <v>6.64805E-3</v>
      </c>
      <c r="V25">
        <v>6.1834200000000002E-3</v>
      </c>
      <c r="W25">
        <v>1.0601599999999999E-2</v>
      </c>
      <c r="X25">
        <v>1.0787E-2</v>
      </c>
      <c r="Y25">
        <v>1.08833E-2</v>
      </c>
      <c r="Z25">
        <v>1.18125E-2</v>
      </c>
      <c r="AA25">
        <v>1.12704E-2</v>
      </c>
      <c r="AB25">
        <v>1.07292E-2</v>
      </c>
      <c r="AC25">
        <v>1.1964300000000001E-2</v>
      </c>
      <c r="AD25">
        <v>1.2392200000000001E-2</v>
      </c>
      <c r="AE25">
        <v>1.25807E-2</v>
      </c>
      <c r="AF25" t="s">
        <v>539</v>
      </c>
      <c r="AG25" t="s">
        <v>522</v>
      </c>
      <c r="AH25">
        <v>2</v>
      </c>
      <c r="AI25" t="s">
        <v>510</v>
      </c>
      <c r="AJ25" t="s">
        <v>523</v>
      </c>
      <c r="AK25">
        <v>1</v>
      </c>
      <c r="AM25">
        <f t="shared" si="0"/>
        <v>0</v>
      </c>
      <c r="AN25">
        <f t="shared" si="1"/>
        <v>0</v>
      </c>
      <c r="AO25">
        <f t="shared" si="2"/>
        <v>0</v>
      </c>
      <c r="AP25">
        <f t="shared" si="3"/>
        <v>0</v>
      </c>
      <c r="AQ25">
        <f t="shared" si="4"/>
        <v>0</v>
      </c>
      <c r="AR25">
        <f t="shared" si="5"/>
        <v>0</v>
      </c>
      <c r="AS25">
        <f t="shared" si="6"/>
        <v>0</v>
      </c>
      <c r="AT25">
        <f t="shared" si="7"/>
        <v>1.2507714223991551E-2</v>
      </c>
      <c r="AU25">
        <f t="shared" si="8"/>
        <v>1.4645753248338002E-2</v>
      </c>
      <c r="AV25">
        <f t="shared" si="9"/>
        <v>2.0866849436076751E-2</v>
      </c>
      <c r="AW25">
        <f t="shared" si="10"/>
        <v>2.8942477067983505E-2</v>
      </c>
      <c r="AX25">
        <f t="shared" si="11"/>
        <v>3.6839675636811002E-2</v>
      </c>
      <c r="AY25">
        <f t="shared" si="12"/>
        <v>4.8727987666569009E-2</v>
      </c>
      <c r="AZ25">
        <f t="shared" si="13"/>
        <v>6.4695051076113008E-2</v>
      </c>
      <c r="BA25">
        <f t="shared" si="14"/>
        <v>8.3849699137230019E-2</v>
      </c>
      <c r="BB25">
        <f t="shared" si="15"/>
        <v>0.10619497634337902</v>
      </c>
      <c r="BC25">
        <f t="shared" si="16"/>
        <v>0.14457103385789255</v>
      </c>
      <c r="BD25">
        <f t="shared" si="17"/>
        <v>0.13446701245892703</v>
      </c>
      <c r="BE25">
        <f t="shared" si="18"/>
        <v>0.23054644182096001</v>
      </c>
      <c r="BF25">
        <f t="shared" si="19"/>
        <v>0.23457822101595002</v>
      </c>
      <c r="BG25">
        <f t="shared" si="20"/>
        <v>0.23667239758810504</v>
      </c>
      <c r="BH25">
        <f t="shared" si="21"/>
        <v>0.25687913560312503</v>
      </c>
      <c r="BI25">
        <f t="shared" si="22"/>
        <v>0.24509042200224004</v>
      </c>
      <c r="BJ25">
        <f t="shared" si="23"/>
        <v>0.23332128014502002</v>
      </c>
      <c r="BK25">
        <f t="shared" si="24"/>
        <v>0.26018023636795506</v>
      </c>
      <c r="BL25">
        <f t="shared" si="25"/>
        <v>0.26948551316157004</v>
      </c>
      <c r="BM25">
        <f t="shared" si="26"/>
        <v>0.27358470614029506</v>
      </c>
    </row>
    <row r="26" spans="2:65" x14ac:dyDescent="0.3">
      <c r="B26">
        <v>23</v>
      </c>
      <c r="C26">
        <v>2.0310000000000001</v>
      </c>
      <c r="D26">
        <v>2.0190000000000001</v>
      </c>
      <c r="E26">
        <v>4.3926499999999999E-4</v>
      </c>
      <c r="F26">
        <v>7.0915699999999997E-4</v>
      </c>
      <c r="G26">
        <v>6.3526200000000004E-4</v>
      </c>
      <c r="H26">
        <v>9.2108299999999995E-4</v>
      </c>
      <c r="I26">
        <v>1.04739E-3</v>
      </c>
      <c r="J26">
        <v>1.14628E-3</v>
      </c>
      <c r="K26">
        <v>1.31467E-3</v>
      </c>
      <c r="L26">
        <v>1.83701E-3</v>
      </c>
      <c r="M26">
        <v>2.2192900000000001E-3</v>
      </c>
      <c r="N26">
        <v>3.3189299999999999E-3</v>
      </c>
      <c r="O26">
        <v>4.3560999999999999E-3</v>
      </c>
      <c r="P26">
        <v>5.8877900000000004E-3</v>
      </c>
      <c r="Q26">
        <v>7.7289500000000001E-3</v>
      </c>
      <c r="R26">
        <v>1.0600500000000001E-2</v>
      </c>
      <c r="S26">
        <v>1.7113699999999999E-2</v>
      </c>
      <c r="T26">
        <v>2.7331500000000002E-2</v>
      </c>
      <c r="U26">
        <v>4.2005099999999997E-2</v>
      </c>
      <c r="V26">
        <v>3.7834699999999999E-2</v>
      </c>
      <c r="W26">
        <v>5.5780099999999999E-2</v>
      </c>
      <c r="X26">
        <v>5.28123E-2</v>
      </c>
      <c r="Y26">
        <v>5.16601E-2</v>
      </c>
      <c r="Z26">
        <v>5.51783E-2</v>
      </c>
      <c r="AA26">
        <v>5.22549E-2</v>
      </c>
      <c r="AB26">
        <v>4.87543E-2</v>
      </c>
      <c r="AC26">
        <v>5.4018499999999997E-2</v>
      </c>
      <c r="AD26">
        <v>5.6107999999999998E-2</v>
      </c>
      <c r="AE26">
        <v>5.70045E-2</v>
      </c>
      <c r="AF26" t="s">
        <v>524</v>
      </c>
      <c r="AG26" t="s">
        <v>525</v>
      </c>
      <c r="AH26">
        <v>3</v>
      </c>
      <c r="AI26" t="s">
        <v>493</v>
      </c>
      <c r="AJ26" t="s">
        <v>526</v>
      </c>
      <c r="AK26">
        <v>1</v>
      </c>
      <c r="AM26">
        <f t="shared" si="0"/>
        <v>0</v>
      </c>
      <c r="AN26">
        <f t="shared" si="1"/>
        <v>1.0281065942400303E-2</v>
      </c>
      <c r="AO26">
        <f t="shared" si="2"/>
        <v>0</v>
      </c>
      <c r="AP26">
        <f t="shared" si="3"/>
        <v>1.3353481755695701E-2</v>
      </c>
      <c r="AQ26">
        <f t="shared" si="4"/>
        <v>1.5184628590581003E-2</v>
      </c>
      <c r="AR26">
        <f t="shared" si="5"/>
        <v>1.6618295058012003E-2</v>
      </c>
      <c r="AS26">
        <f t="shared" si="6"/>
        <v>1.9059543884493005E-2</v>
      </c>
      <c r="AT26">
        <f t="shared" si="7"/>
        <v>2.6632213948179002E-2</v>
      </c>
      <c r="AU26">
        <f t="shared" si="8"/>
        <v>3.2174351850591004E-2</v>
      </c>
      <c r="AV26">
        <f t="shared" si="9"/>
        <v>4.8116479408947005E-2</v>
      </c>
      <c r="AW26">
        <f t="shared" si="10"/>
        <v>6.3152942651190008E-2</v>
      </c>
      <c r="AX26">
        <f t="shared" si="11"/>
        <v>8.5358753061741025E-2</v>
      </c>
      <c r="AY26">
        <f t="shared" si="12"/>
        <v>0.11205113199970501</v>
      </c>
      <c r="AZ26">
        <f t="shared" si="13"/>
        <v>0.15368168053395004</v>
      </c>
      <c r="BA26">
        <f t="shared" si="14"/>
        <v>0.24810737004423</v>
      </c>
      <c r="BB26">
        <f t="shared" si="15"/>
        <v>0.39624082368885016</v>
      </c>
      <c r="BC26">
        <f t="shared" si="16"/>
        <v>0.60897262949829001</v>
      </c>
      <c r="BD26">
        <f t="shared" si="17"/>
        <v>0.54851188892013014</v>
      </c>
      <c r="BE26">
        <f t="shared" si="18"/>
        <v>0.80867690282079008</v>
      </c>
      <c r="BF26">
        <f t="shared" si="19"/>
        <v>0.76565096145117018</v>
      </c>
      <c r="BG26">
        <f t="shared" si="20"/>
        <v>0.74894684067279016</v>
      </c>
      <c r="BH26">
        <f t="shared" si="21"/>
        <v>0.79995225442257012</v>
      </c>
      <c r="BI26">
        <f t="shared" si="22"/>
        <v>0.75757000595571022</v>
      </c>
      <c r="BJ26">
        <f t="shared" si="23"/>
        <v>0.70681974975297013</v>
      </c>
      <c r="BK26">
        <f t="shared" si="24"/>
        <v>0.7831379519761501</v>
      </c>
      <c r="BL26">
        <f t="shared" si="25"/>
        <v>0.81343066189320012</v>
      </c>
      <c r="BM26">
        <f t="shared" si="26"/>
        <v>0.82642774944555009</v>
      </c>
    </row>
    <row r="27" spans="2:65" x14ac:dyDescent="0.3">
      <c r="B27">
        <v>24</v>
      </c>
      <c r="C27">
        <v>1.929</v>
      </c>
      <c r="D27">
        <v>1.919</v>
      </c>
      <c r="E27">
        <v>8.1505300000000004E-4</v>
      </c>
      <c r="F27">
        <v>7.5585699999999997E-3</v>
      </c>
      <c r="G27">
        <v>1.2918900000000001E-2</v>
      </c>
      <c r="H27">
        <v>3.2316499999999998E-2</v>
      </c>
      <c r="I27">
        <v>4.0508700000000002E-2</v>
      </c>
      <c r="J27">
        <v>6.0173299999999999E-2</v>
      </c>
      <c r="K27">
        <v>8.5753599999999999E-2</v>
      </c>
      <c r="L27">
        <v>0.13051399999999999</v>
      </c>
      <c r="M27">
        <v>0.16934199999999999</v>
      </c>
      <c r="N27">
        <v>0.231408</v>
      </c>
      <c r="O27">
        <v>0.28699000000000002</v>
      </c>
      <c r="P27">
        <v>0.34384700000000001</v>
      </c>
      <c r="Q27">
        <v>0.38902500000000001</v>
      </c>
      <c r="R27">
        <v>0.48702699999999999</v>
      </c>
      <c r="S27">
        <v>0.6</v>
      </c>
      <c r="T27">
        <v>0.76897000000000004</v>
      </c>
      <c r="U27">
        <v>1.0738700000000001</v>
      </c>
      <c r="V27">
        <v>0.79279599999999995</v>
      </c>
      <c r="W27">
        <v>0.71060800000000002</v>
      </c>
      <c r="X27">
        <v>0.144868</v>
      </c>
      <c r="Y27">
        <v>3.91502E-3</v>
      </c>
      <c r="Z27">
        <v>2.5968200000000001E-3</v>
      </c>
      <c r="AA27">
        <v>2.3594000000000002E-3</v>
      </c>
      <c r="AB27">
        <v>2.6487699999999999E-3</v>
      </c>
      <c r="AC27">
        <v>2.3500700000000001E-3</v>
      </c>
      <c r="AD27">
        <v>2.5492599999999998E-3</v>
      </c>
      <c r="AE27">
        <v>2.62992E-3</v>
      </c>
      <c r="AF27" t="s">
        <v>527</v>
      </c>
      <c r="AG27" t="s">
        <v>528</v>
      </c>
      <c r="AH27">
        <v>3</v>
      </c>
      <c r="AI27" t="s">
        <v>493</v>
      </c>
      <c r="AJ27">
        <v>1</v>
      </c>
      <c r="AK27">
        <v>1</v>
      </c>
      <c r="AM27">
        <f t="shared" si="0"/>
        <v>1.1816302510658704E-2</v>
      </c>
      <c r="AN27">
        <f t="shared" si="1"/>
        <v>0.10958103297330302</v>
      </c>
      <c r="AO27">
        <f t="shared" si="2"/>
        <v>0.18729288832131002</v>
      </c>
      <c r="AP27">
        <f t="shared" si="3"/>
        <v>0.46851129937035008</v>
      </c>
      <c r="AQ27">
        <f t="shared" si="4"/>
        <v>0.5872784389647302</v>
      </c>
      <c r="AR27">
        <f t="shared" si="5"/>
        <v>0.87236770598307023</v>
      </c>
      <c r="AS27">
        <f t="shared" si="6"/>
        <v>1.2432203537414401</v>
      </c>
      <c r="AT27">
        <f t="shared" si="7"/>
        <v>1.8921381871806</v>
      </c>
      <c r="AU27">
        <f t="shared" si="8"/>
        <v>2.4550505301618002</v>
      </c>
      <c r="AV27">
        <f t="shared" si="9"/>
        <v>3.3548578207632009</v>
      </c>
      <c r="AW27">
        <f t="shared" si="10"/>
        <v>4.1606627514210004</v>
      </c>
      <c r="AX27">
        <f t="shared" si="11"/>
        <v>4.984952106651301</v>
      </c>
      <c r="AY27">
        <f t="shared" si="12"/>
        <v>5.6399241327975016</v>
      </c>
      <c r="AZ27">
        <f t="shared" si="13"/>
        <v>7.0607167421733008</v>
      </c>
      <c r="BA27">
        <f t="shared" si="14"/>
        <v>8.6985527400000002</v>
      </c>
      <c r="BB27">
        <f t="shared" si="15"/>
        <v>11.148210167463002</v>
      </c>
      <c r="BC27">
        <f t="shared" si="16"/>
        <v>15.568524718173004</v>
      </c>
      <c r="BD27">
        <f t="shared" si="17"/>
        <v>11.493629696768402</v>
      </c>
      <c r="BE27">
        <f t="shared" si="18"/>
        <v>10.302101942443201</v>
      </c>
      <c r="BF27">
        <f t="shared" si="19"/>
        <v>2.1002365638972007</v>
      </c>
      <c r="BG27">
        <f t="shared" si="20"/>
        <v>5.6758346580258009E-2</v>
      </c>
      <c r="BH27">
        <f t="shared" si="21"/>
        <v>3.7647626210478007E-2</v>
      </c>
      <c r="BI27">
        <f t="shared" si="22"/>
        <v>3.4205608891260009E-2</v>
      </c>
      <c r="BJ27">
        <f t="shared" si="23"/>
        <v>3.8400775901883004E-2</v>
      </c>
      <c r="BK27">
        <f t="shared" si="24"/>
        <v>3.4070346396153008E-2</v>
      </c>
      <c r="BL27">
        <f t="shared" si="25"/>
        <v>3.6958120929954E-2</v>
      </c>
      <c r="BM27">
        <f t="shared" si="26"/>
        <v>3.8127496369968011E-2</v>
      </c>
    </row>
    <row r="28" spans="2:65" hidden="1" x14ac:dyDescent="0.3">
      <c r="B28">
        <v>25</v>
      </c>
      <c r="C28">
        <v>1.819</v>
      </c>
      <c r="D28">
        <v>1.8129999999999999</v>
      </c>
      <c r="E28">
        <v>1.9678299999999999E-4</v>
      </c>
      <c r="F28">
        <v>2.16247E-4</v>
      </c>
      <c r="G28">
        <v>2.0739200000000001E-4</v>
      </c>
      <c r="H28">
        <v>3.5998600000000002E-4</v>
      </c>
      <c r="I28">
        <v>3.8325000000000002E-4</v>
      </c>
      <c r="J28">
        <v>4.7489599999999999E-4</v>
      </c>
      <c r="K28">
        <v>5.6353000000000002E-4</v>
      </c>
      <c r="L28">
        <v>8.1605000000000002E-4</v>
      </c>
      <c r="M28">
        <v>1.01632E-3</v>
      </c>
      <c r="N28">
        <v>1.39836E-3</v>
      </c>
      <c r="O28">
        <v>1.6932099999999999E-3</v>
      </c>
      <c r="P28">
        <v>2.00066E-3</v>
      </c>
      <c r="Q28">
        <v>2.2247E-3</v>
      </c>
      <c r="R28">
        <v>2.7610199999999999E-3</v>
      </c>
      <c r="S28">
        <v>3.29985E-3</v>
      </c>
      <c r="T28">
        <v>4.2538599999999999E-3</v>
      </c>
      <c r="U28">
        <v>5.91707E-3</v>
      </c>
      <c r="V28">
        <v>4.4729899999999996E-3</v>
      </c>
      <c r="W28">
        <v>4.2801499999999999E-3</v>
      </c>
      <c r="X28">
        <v>1.2935500000000001E-3</v>
      </c>
      <c r="Y28">
        <v>5.97869E-4</v>
      </c>
      <c r="Z28">
        <v>5.6477399999999998E-4</v>
      </c>
      <c r="AA28">
        <v>5.9750299999999999E-4</v>
      </c>
      <c r="AB28">
        <v>6.3348899999999999E-4</v>
      </c>
      <c r="AC28">
        <v>6.5003599999999999E-4</v>
      </c>
      <c r="AD28">
        <v>7.7167900000000005E-4</v>
      </c>
      <c r="AE28">
        <v>7.8186300000000005E-4</v>
      </c>
      <c r="AF28" t="s">
        <v>504</v>
      </c>
      <c r="AH28">
        <v>1</v>
      </c>
      <c r="AK28">
        <v>1</v>
      </c>
      <c r="AM28">
        <f t="shared" si="0"/>
        <v>0</v>
      </c>
      <c r="AN28">
        <f t="shared" si="1"/>
        <v>0</v>
      </c>
      <c r="AO28">
        <f t="shared" si="2"/>
        <v>0</v>
      </c>
      <c r="AP28">
        <f t="shared" si="3"/>
        <v>1.5656786033308206E-2</v>
      </c>
      <c r="AQ28">
        <f t="shared" si="4"/>
        <v>1.6668601688025003E-2</v>
      </c>
      <c r="AR28">
        <f t="shared" si="5"/>
        <v>2.0654539510075204E-2</v>
      </c>
      <c r="AS28">
        <f t="shared" si="6"/>
        <v>2.4509477127861008E-2</v>
      </c>
      <c r="AT28">
        <f t="shared" si="7"/>
        <v>3.5492269817385007E-2</v>
      </c>
      <c r="AU28">
        <f t="shared" si="8"/>
        <v>4.4202565603584008E-2</v>
      </c>
      <c r="AV28">
        <f t="shared" si="9"/>
        <v>6.081854104753201E-2</v>
      </c>
      <c r="AW28">
        <f t="shared" si="10"/>
        <v>7.3642382424477015E-2</v>
      </c>
      <c r="AX28">
        <f t="shared" si="11"/>
        <v>8.7014232624042009E-2</v>
      </c>
      <c r="AY28">
        <f t="shared" si="12"/>
        <v>9.6758351403390022E-2</v>
      </c>
      <c r="AZ28">
        <f t="shared" si="13"/>
        <v>0.12008439043097402</v>
      </c>
      <c r="BA28">
        <f t="shared" si="14"/>
        <v>0.14351959629544503</v>
      </c>
      <c r="BB28">
        <f t="shared" si="15"/>
        <v>0.18501212779288201</v>
      </c>
      <c r="BC28">
        <f t="shared" si="16"/>
        <v>0.25734972730635902</v>
      </c>
      <c r="BD28">
        <f t="shared" si="17"/>
        <v>0.19454269710246302</v>
      </c>
      <c r="BE28">
        <f t="shared" si="18"/>
        <v>0.18615555255055505</v>
      </c>
      <c r="BF28">
        <f t="shared" si="19"/>
        <v>5.6260064484135015E-2</v>
      </c>
      <c r="BG28">
        <f t="shared" si="20"/>
        <v>2.6002975140555308E-2</v>
      </c>
      <c r="BH28">
        <f t="shared" si="21"/>
        <v>2.4563582125903805E-2</v>
      </c>
      <c r="BI28">
        <f t="shared" si="22"/>
        <v>2.5987056789041105E-2</v>
      </c>
      <c r="BJ28">
        <f t="shared" si="23"/>
        <v>2.7552187383549302E-2</v>
      </c>
      <c r="BK28">
        <f t="shared" si="24"/>
        <v>2.8271862144493204E-2</v>
      </c>
      <c r="BL28">
        <f t="shared" si="25"/>
        <v>3.3562452399252311E-2</v>
      </c>
      <c r="BM28">
        <f t="shared" si="26"/>
        <v>3.4005382704773109E-2</v>
      </c>
    </row>
    <row r="29" spans="2:65" x14ac:dyDescent="0.3">
      <c r="B29">
        <v>26</v>
      </c>
      <c r="C29">
        <v>1.204</v>
      </c>
      <c r="D29">
        <v>1.173</v>
      </c>
      <c r="E29">
        <v>0.28540500000000002</v>
      </c>
      <c r="F29">
        <v>0.34517999999999999</v>
      </c>
      <c r="G29">
        <v>0.37498100000000001</v>
      </c>
      <c r="H29">
        <v>0.38827200000000001</v>
      </c>
      <c r="I29">
        <v>0.377027</v>
      </c>
      <c r="J29">
        <v>0.358763</v>
      </c>
      <c r="K29">
        <v>0.35311500000000001</v>
      </c>
      <c r="L29">
        <v>0.36741400000000002</v>
      </c>
      <c r="M29">
        <v>0.35367900000000002</v>
      </c>
      <c r="N29">
        <v>0.36487599999999998</v>
      </c>
      <c r="O29">
        <v>0.36979000000000001</v>
      </c>
      <c r="P29">
        <v>0.36796800000000002</v>
      </c>
      <c r="Q29">
        <v>0.35491600000000001</v>
      </c>
      <c r="R29">
        <v>0.37603500000000001</v>
      </c>
      <c r="S29">
        <v>0.37152099999999999</v>
      </c>
      <c r="T29">
        <v>0.38698900000000003</v>
      </c>
      <c r="U29">
        <v>0.44773099999999999</v>
      </c>
      <c r="V29">
        <v>0.28368500000000002</v>
      </c>
      <c r="W29">
        <v>0.31189299999999998</v>
      </c>
      <c r="X29">
        <v>0.60852899999999999</v>
      </c>
      <c r="Y29">
        <v>0.60160999999999998</v>
      </c>
      <c r="Z29">
        <v>0.59897299999999998</v>
      </c>
      <c r="AA29">
        <v>0.58381000000000005</v>
      </c>
      <c r="AB29">
        <v>0.515011</v>
      </c>
      <c r="AC29">
        <v>0.56944899999999998</v>
      </c>
      <c r="AD29">
        <v>0.57596899999999995</v>
      </c>
      <c r="AE29">
        <v>0.50056500000000004</v>
      </c>
      <c r="AF29" t="s">
        <v>529</v>
      </c>
      <c r="AG29" t="s">
        <v>509</v>
      </c>
      <c r="AH29">
        <v>3</v>
      </c>
      <c r="AI29" t="s">
        <v>530</v>
      </c>
      <c r="AJ29" t="s">
        <v>511</v>
      </c>
      <c r="AK29">
        <v>1</v>
      </c>
      <c r="AM29">
        <f t="shared" si="0"/>
        <v>4.1376840745995009</v>
      </c>
      <c r="AN29">
        <f t="shared" si="1"/>
        <v>5.0042773913220007</v>
      </c>
      <c r="AO29">
        <f t="shared" si="2"/>
        <v>5.4363200083299006</v>
      </c>
      <c r="AP29">
        <f t="shared" si="3"/>
        <v>5.6290074491088014</v>
      </c>
      <c r="AQ29">
        <f t="shared" si="4"/>
        <v>5.4659820731733006</v>
      </c>
      <c r="AR29">
        <f t="shared" si="5"/>
        <v>5.2011981277677011</v>
      </c>
      <c r="AS29">
        <f t="shared" si="6"/>
        <v>5.119315751308501</v>
      </c>
      <c r="AT29">
        <f t="shared" si="7"/>
        <v>5.3266167606906007</v>
      </c>
      <c r="AU29">
        <f t="shared" si="8"/>
        <v>5.1274923908841012</v>
      </c>
      <c r="AV29">
        <f t="shared" si="9"/>
        <v>5.2898218826004006</v>
      </c>
      <c r="AW29">
        <f t="shared" si="10"/>
        <v>5.3610630295410004</v>
      </c>
      <c r="AX29">
        <f t="shared" si="11"/>
        <v>5.3346484243872014</v>
      </c>
      <c r="AY29">
        <f t="shared" si="12"/>
        <v>5.145425907116401</v>
      </c>
      <c r="AZ29">
        <f t="shared" si="13"/>
        <v>5.4516004659765009</v>
      </c>
      <c r="BA29">
        <f t="shared" si="14"/>
        <v>5.3861583541959011</v>
      </c>
      <c r="BB29">
        <f t="shared" si="15"/>
        <v>5.610407043833102</v>
      </c>
      <c r="BC29">
        <f t="shared" si="16"/>
        <v>6.4910195280549017</v>
      </c>
      <c r="BD29">
        <f t="shared" si="17"/>
        <v>4.1127482234115016</v>
      </c>
      <c r="BE29">
        <f t="shared" si="18"/>
        <v>4.5216961828947007</v>
      </c>
      <c r="BF29">
        <f t="shared" si="19"/>
        <v>8.8222026671991003</v>
      </c>
      <c r="BG29">
        <f t="shared" si="20"/>
        <v>8.7218938565190012</v>
      </c>
      <c r="BH29">
        <f t="shared" si="21"/>
        <v>8.6836637172267022</v>
      </c>
      <c r="BI29">
        <f t="shared" si="22"/>
        <v>8.4638367918990021</v>
      </c>
      <c r="BJ29">
        <f t="shared" si="23"/>
        <v>7.4664172419669015</v>
      </c>
      <c r="BK29">
        <f t="shared" si="24"/>
        <v>8.2556369320671017</v>
      </c>
      <c r="BL29">
        <f t="shared" si="25"/>
        <v>8.3501612051751</v>
      </c>
      <c r="BM29">
        <f t="shared" si="26"/>
        <v>7.2569850871635024</v>
      </c>
    </row>
    <row r="30" spans="2:65" x14ac:dyDescent="0.3">
      <c r="B30">
        <v>27</v>
      </c>
      <c r="C30">
        <v>8.0000000000000002E-3</v>
      </c>
      <c r="D30">
        <v>-8.0000000000000002E-3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 t="s">
        <v>531</v>
      </c>
      <c r="AH30">
        <v>9</v>
      </c>
      <c r="AI30" t="s">
        <v>493</v>
      </c>
      <c r="AJ30">
        <v>1</v>
      </c>
      <c r="AK30">
        <v>1</v>
      </c>
      <c r="AM30">
        <f t="shared" si="0"/>
        <v>4.8325293000000009</v>
      </c>
      <c r="AN30">
        <f t="shared" si="1"/>
        <v>4.8325293000000009</v>
      </c>
      <c r="AO30">
        <f t="shared" si="2"/>
        <v>4.8325293000000009</v>
      </c>
      <c r="AP30">
        <f t="shared" si="3"/>
        <v>4.8325293000000009</v>
      </c>
      <c r="AQ30">
        <f t="shared" si="4"/>
        <v>4.8325293000000009</v>
      </c>
      <c r="AR30">
        <f t="shared" si="5"/>
        <v>4.8325293000000009</v>
      </c>
      <c r="AS30">
        <f t="shared" si="6"/>
        <v>4.8325293000000009</v>
      </c>
      <c r="AT30">
        <f t="shared" si="7"/>
        <v>4.8325293000000009</v>
      </c>
      <c r="AU30">
        <f t="shared" si="8"/>
        <v>4.8325293000000009</v>
      </c>
      <c r="AV30">
        <f t="shared" si="9"/>
        <v>4.8325293000000009</v>
      </c>
      <c r="AW30">
        <f t="shared" si="10"/>
        <v>4.8325293000000009</v>
      </c>
      <c r="AX30">
        <f t="shared" si="11"/>
        <v>4.8325293000000009</v>
      </c>
      <c r="AY30">
        <f t="shared" si="12"/>
        <v>4.8325293000000009</v>
      </c>
      <c r="AZ30">
        <f t="shared" si="13"/>
        <v>4.8325293000000009</v>
      </c>
      <c r="BA30">
        <f t="shared" si="14"/>
        <v>4.8325293000000009</v>
      </c>
      <c r="BB30">
        <f t="shared" si="15"/>
        <v>4.8325293000000009</v>
      </c>
      <c r="BC30">
        <f t="shared" si="16"/>
        <v>4.8325293000000009</v>
      </c>
      <c r="BD30">
        <f t="shared" si="17"/>
        <v>4.8325293000000009</v>
      </c>
      <c r="BE30">
        <f t="shared" si="18"/>
        <v>4.8325293000000009</v>
      </c>
      <c r="BF30">
        <f t="shared" si="19"/>
        <v>4.8325293000000009</v>
      </c>
      <c r="BG30">
        <f t="shared" si="20"/>
        <v>4.8325293000000009</v>
      </c>
      <c r="BH30">
        <f t="shared" si="21"/>
        <v>4.8325293000000009</v>
      </c>
      <c r="BI30">
        <f t="shared" si="22"/>
        <v>4.8325293000000009</v>
      </c>
      <c r="BJ30">
        <f t="shared" si="23"/>
        <v>4.8325293000000009</v>
      </c>
      <c r="BK30">
        <f t="shared" si="24"/>
        <v>4.8325293000000009</v>
      </c>
      <c r="BL30">
        <f t="shared" si="25"/>
        <v>4.8325293000000009</v>
      </c>
      <c r="BM30">
        <f t="shared" si="26"/>
        <v>4.8325293000000009</v>
      </c>
    </row>
    <row r="33" spans="14:65" hidden="1" x14ac:dyDescent="0.3">
      <c r="AM33">
        <f>AM18/AM12</f>
        <v>0.68845461446697764</v>
      </c>
      <c r="AN33">
        <f t="shared" ref="AN33:BM33" si="27">AN18/AN12</f>
        <v>0.68930106535923619</v>
      </c>
      <c r="AO33">
        <f t="shared" si="27"/>
        <v>0.68921739610861976</v>
      </c>
      <c r="AP33">
        <f t="shared" si="27"/>
        <v>0.68954464285714301</v>
      </c>
      <c r="AQ33">
        <f t="shared" si="27"/>
        <v>0.68803142225055303</v>
      </c>
      <c r="AR33">
        <f t="shared" si="27"/>
        <v>0.6866964207578542</v>
      </c>
      <c r="AS33">
        <f t="shared" si="27"/>
        <v>0.68788305915054271</v>
      </c>
      <c r="AT33">
        <f t="shared" si="27"/>
        <v>0.68668665110874594</v>
      </c>
      <c r="AU33">
        <f t="shared" si="27"/>
        <v>0.68854497935079695</v>
      </c>
      <c r="AV33">
        <f t="shared" si="27"/>
        <v>0.68710543360204068</v>
      </c>
      <c r="AW33">
        <f t="shared" si="27"/>
        <v>0.68700614018429584</v>
      </c>
      <c r="AX33">
        <f t="shared" si="27"/>
        <v>0.68771135083204205</v>
      </c>
      <c r="AY33">
        <f t="shared" si="27"/>
        <v>0.68606643729816452</v>
      </c>
      <c r="AZ33">
        <f t="shared" si="27"/>
        <v>0.6889570983623029</v>
      </c>
      <c r="BA33">
        <f t="shared" si="27"/>
        <v>0.68486828422141321</v>
      </c>
      <c r="BB33">
        <f t="shared" si="27"/>
        <v>0.68509668117631628</v>
      </c>
      <c r="BC33">
        <f t="shared" si="27"/>
        <v>0.68119898237061161</v>
      </c>
      <c r="BE33">
        <f t="shared" si="27"/>
        <v>0.35295607388925765</v>
      </c>
      <c r="BF33">
        <f t="shared" si="27"/>
        <v>0.45981675053452253</v>
      </c>
      <c r="BG33">
        <f t="shared" si="27"/>
        <v>0.31792157163548085</v>
      </c>
      <c r="BH33">
        <f t="shared" si="27"/>
        <v>0.5241608402040836</v>
      </c>
      <c r="BJ33">
        <f t="shared" si="27"/>
        <v>0.19328010159536468</v>
      </c>
      <c r="BK33">
        <f t="shared" si="27"/>
        <v>0.50290586180845398</v>
      </c>
      <c r="BL33">
        <f t="shared" si="27"/>
        <v>0.32867019222199118</v>
      </c>
      <c r="BM33">
        <f t="shared" si="27"/>
        <v>0.53409974656866366</v>
      </c>
    </row>
    <row r="34" spans="14:65" x14ac:dyDescent="0.3">
      <c r="U34" t="s">
        <v>532</v>
      </c>
      <c r="X34">
        <f>(4.35363*10^-5)*1.11*1000*1000</f>
        <v>48.325293000000009</v>
      </c>
      <c r="AA34" t="s">
        <v>533</v>
      </c>
      <c r="AC34">
        <v>540</v>
      </c>
      <c r="AF34" t="s">
        <v>491</v>
      </c>
      <c r="AG34" t="s">
        <v>492</v>
      </c>
      <c r="AH34">
        <v>1</v>
      </c>
      <c r="AI34" t="s">
        <v>493</v>
      </c>
      <c r="AJ34">
        <v>1</v>
      </c>
      <c r="AK34">
        <v>1</v>
      </c>
      <c r="AM34">
        <v>0</v>
      </c>
      <c r="AN34">
        <v>2.0234355919969506E-2</v>
      </c>
      <c r="AO34">
        <v>1.7862739008172205E-2</v>
      </c>
      <c r="AP34">
        <v>9.7348548206799015E-2</v>
      </c>
      <c r="AQ34">
        <v>1.7025894741820504E-2</v>
      </c>
      <c r="AR34">
        <v>1.6786988990816404E-2</v>
      </c>
      <c r="AS34">
        <v>1.9052048631548704E-2</v>
      </c>
      <c r="AT34">
        <v>8.4743040503628006E-2</v>
      </c>
      <c r="AU34">
        <v>7.3918561473972008E-2</v>
      </c>
      <c r="AV34">
        <v>0.20690986446055801</v>
      </c>
      <c r="AW34">
        <v>0.26225440626880803</v>
      </c>
      <c r="AX34">
        <v>0.4355626313500201</v>
      </c>
      <c r="AY34">
        <v>0.55039657534713016</v>
      </c>
      <c r="AZ34">
        <v>1.1562203287535402</v>
      </c>
      <c r="BA34">
        <v>1.09653520912803</v>
      </c>
      <c r="BB34">
        <v>1.7642187203449504</v>
      </c>
      <c r="BC34">
        <v>4.4044686871353012</v>
      </c>
      <c r="BD34">
        <v>2.4852895990036208</v>
      </c>
      <c r="BE34">
        <v>0.61809741132255014</v>
      </c>
      <c r="BF34">
        <v>0.14315121258690602</v>
      </c>
      <c r="BG34">
        <v>2.4319544228783102E-2</v>
      </c>
      <c r="BH34">
        <v>1.7295071456359803E-2</v>
      </c>
      <c r="BI34">
        <v>1.2252607418509202E-2</v>
      </c>
      <c r="BJ34">
        <v>1.3428695241720903E-2</v>
      </c>
      <c r="BK34">
        <v>1.4024111176773903E-2</v>
      </c>
      <c r="BL34">
        <v>1.3453225160447703E-2</v>
      </c>
      <c r="BM34">
        <v>1.4478654050202601E-2</v>
      </c>
    </row>
    <row r="35" spans="14:65" x14ac:dyDescent="0.3">
      <c r="U35" t="s">
        <v>534</v>
      </c>
      <c r="X35">
        <f>X34*(AC35/(AC35+AC34))</f>
        <v>4.8325293000000009</v>
      </c>
      <c r="AA35" t="s">
        <v>535</v>
      </c>
      <c r="AC35">
        <v>60</v>
      </c>
      <c r="AF35" t="s">
        <v>494</v>
      </c>
      <c r="AG35" t="s">
        <v>495</v>
      </c>
      <c r="AH35">
        <v>1</v>
      </c>
      <c r="AI35" t="s">
        <v>496</v>
      </c>
      <c r="AJ35" t="s">
        <v>497</v>
      </c>
      <c r="AK35">
        <v>1</v>
      </c>
      <c r="AM35">
        <v>1.5485120094984301E-2</v>
      </c>
      <c r="AN35">
        <v>1.7982431093874603E-2</v>
      </c>
      <c r="AO35">
        <v>0</v>
      </c>
      <c r="AP35">
        <v>0</v>
      </c>
      <c r="AQ35">
        <v>0</v>
      </c>
      <c r="AR35">
        <v>1.2472332860721604E-2</v>
      </c>
      <c r="AS35">
        <v>1.0664947572404404E-2</v>
      </c>
      <c r="AT35">
        <v>1.3734927790932603E-2</v>
      </c>
      <c r="AU35">
        <v>0</v>
      </c>
      <c r="AV35">
        <v>1.1858867428733101E-2</v>
      </c>
      <c r="AW35">
        <v>1.3004292853536301E-2</v>
      </c>
      <c r="AX35">
        <v>1.2845892208140901E-2</v>
      </c>
      <c r="AY35">
        <v>1.9027257756239702E-2</v>
      </c>
      <c r="AZ35">
        <v>2.1925919978553601E-2</v>
      </c>
      <c r="BA35">
        <v>2.9874526994074509E-2</v>
      </c>
      <c r="BB35">
        <v>4.3625851556922009E-2</v>
      </c>
      <c r="BC35">
        <v>7.2405013297212009E-2</v>
      </c>
      <c r="BD35">
        <v>6.6513483526410011E-2</v>
      </c>
      <c r="BE35">
        <v>0.28656990567056706</v>
      </c>
      <c r="BF35">
        <v>0.35536371479776807</v>
      </c>
      <c r="BG35">
        <v>0.40149735910963202</v>
      </c>
      <c r="BH35">
        <v>0.50287203245214007</v>
      </c>
      <c r="BI35">
        <v>0.53185561018182004</v>
      </c>
      <c r="BJ35">
        <v>0.53727480853884013</v>
      </c>
      <c r="BK35">
        <v>0.6159619166248802</v>
      </c>
      <c r="BL35">
        <v>0.66116829521466014</v>
      </c>
      <c r="BM35">
        <v>0.67699096264872016</v>
      </c>
    </row>
    <row r="36" spans="14:65" x14ac:dyDescent="0.3">
      <c r="AF36" t="s">
        <v>499</v>
      </c>
      <c r="AG36" t="s">
        <v>500</v>
      </c>
      <c r="AH36">
        <v>1</v>
      </c>
      <c r="AI36" t="s">
        <v>493</v>
      </c>
      <c r="AJ36" t="s">
        <v>501</v>
      </c>
      <c r="AK36">
        <v>1</v>
      </c>
      <c r="AM36">
        <v>0</v>
      </c>
      <c r="AN36">
        <v>0</v>
      </c>
      <c r="AO36">
        <v>1.4204301696783002E-2</v>
      </c>
      <c r="AP36">
        <v>1.6409819744010005E-2</v>
      </c>
      <c r="AQ36">
        <v>1.8876772793837704E-2</v>
      </c>
      <c r="AR36">
        <v>2.0360615412990606E-2</v>
      </c>
      <c r="AS36">
        <v>1.9931472313562706E-2</v>
      </c>
      <c r="AT36">
        <v>2.2649596073757904E-2</v>
      </c>
      <c r="AU36">
        <v>2.1954364246013401E-2</v>
      </c>
      <c r="AV36">
        <v>2.2450964621940003E-2</v>
      </c>
      <c r="AW36">
        <v>2.4377824532141105E-2</v>
      </c>
      <c r="AX36">
        <v>2.4323154128170203E-2</v>
      </c>
      <c r="AY36">
        <v>2.5791730787264405E-2</v>
      </c>
      <c r="AZ36">
        <v>2.6918106381567004E-2</v>
      </c>
      <c r="BA36">
        <v>3.1652554666894206E-2</v>
      </c>
      <c r="BB36">
        <v>3.25245410863155E-2</v>
      </c>
      <c r="BC36">
        <v>4.1813334122488208E-2</v>
      </c>
      <c r="BD36">
        <v>3.6390003952916708E-2</v>
      </c>
      <c r="BE36">
        <v>8.1062247911697013E-2</v>
      </c>
      <c r="BF36">
        <v>8.8307272488843028E-2</v>
      </c>
      <c r="BG36">
        <v>8.6080008059766011E-2</v>
      </c>
      <c r="BH36">
        <v>9.0321422375790023E-2</v>
      </c>
      <c r="BI36">
        <v>7.8718857803541001E-2</v>
      </c>
      <c r="BJ36">
        <v>6.7284175299174007E-2</v>
      </c>
      <c r="BK36">
        <v>7.8848466239367018E-2</v>
      </c>
      <c r="BL36">
        <v>7.7722003659537006E-2</v>
      </c>
      <c r="BM36">
        <v>8.7370003431108012E-2</v>
      </c>
    </row>
    <row r="37" spans="14:65" x14ac:dyDescent="0.3">
      <c r="AF37" t="s">
        <v>502</v>
      </c>
      <c r="AG37" t="s">
        <v>503</v>
      </c>
      <c r="AH37">
        <v>1</v>
      </c>
      <c r="AI37" t="s">
        <v>493</v>
      </c>
      <c r="AJ37">
        <v>1</v>
      </c>
      <c r="AK37">
        <v>1</v>
      </c>
      <c r="AM37">
        <v>0</v>
      </c>
      <c r="AN37">
        <v>1.46860275475242E-2</v>
      </c>
      <c r="AO37">
        <v>1.8133263998386204E-2</v>
      </c>
      <c r="AP37">
        <v>2.7876208473114304E-2</v>
      </c>
      <c r="AQ37">
        <v>3.2036726248656305E-2</v>
      </c>
      <c r="AR37">
        <v>4.0327534328968809E-2</v>
      </c>
      <c r="AS37">
        <v>5.1333204212199009E-2</v>
      </c>
      <c r="AT37">
        <v>7.2621172332801007E-2</v>
      </c>
      <c r="AU37">
        <v>9.6973640583705029E-2</v>
      </c>
      <c r="AV37">
        <v>0.14875612504492502</v>
      </c>
      <c r="AW37">
        <v>0.20718734829296404</v>
      </c>
      <c r="AX37">
        <v>0.30508607996056808</v>
      </c>
      <c r="AY37">
        <v>0.3988382115370141</v>
      </c>
      <c r="AZ37">
        <v>0.55930824262926004</v>
      </c>
      <c r="BA37">
        <v>0.80215008874821014</v>
      </c>
      <c r="BB37">
        <v>1.2521523176466303</v>
      </c>
      <c r="BC37">
        <v>1.7057600966557804</v>
      </c>
      <c r="BD37">
        <v>1.9953131709885303</v>
      </c>
      <c r="BE37">
        <v>2.4991159485838503</v>
      </c>
      <c r="BF37">
        <v>2.3773275116711106</v>
      </c>
      <c r="BG37">
        <v>1.9301740587950404</v>
      </c>
      <c r="BH37">
        <v>1.5155488438902005</v>
      </c>
      <c r="BI37">
        <v>1.7395974668143803</v>
      </c>
      <c r="BJ37">
        <v>1.0976399253260103</v>
      </c>
      <c r="BK37">
        <v>1.4378142273291903</v>
      </c>
      <c r="BL37">
        <v>0.57654442488357005</v>
      </c>
      <c r="BM37">
        <v>0.51404967272304014</v>
      </c>
    </row>
    <row r="38" spans="14:65" x14ac:dyDescent="0.3">
      <c r="AF38" t="s">
        <v>494</v>
      </c>
      <c r="AG38" t="s">
        <v>495</v>
      </c>
      <c r="AH38">
        <v>1</v>
      </c>
      <c r="AI38" t="s">
        <v>496</v>
      </c>
      <c r="AJ38" t="s">
        <v>497</v>
      </c>
      <c r="AK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1.0046523965354102E-2</v>
      </c>
      <c r="AZ38">
        <v>1.2613118936818504E-2</v>
      </c>
      <c r="BA38">
        <v>2.6218699248507307E-2</v>
      </c>
      <c r="BB38">
        <v>3.8560771281947404E-2</v>
      </c>
      <c r="BC38">
        <v>5.9433296523687007E-2</v>
      </c>
      <c r="BD38">
        <v>5.9157987329466005E-2</v>
      </c>
      <c r="BE38">
        <v>0.27449587953981003</v>
      </c>
      <c r="BF38">
        <v>0.33812318326708801</v>
      </c>
      <c r="BG38">
        <v>0.34759155792457808</v>
      </c>
      <c r="BH38">
        <v>0.43732408827987007</v>
      </c>
      <c r="BI38">
        <v>0.49135514862438018</v>
      </c>
      <c r="BJ38">
        <v>0.51760303151733011</v>
      </c>
      <c r="BK38">
        <v>0.60054373189323007</v>
      </c>
      <c r="BL38">
        <v>0.66513483526410011</v>
      </c>
      <c r="BM38">
        <v>0.59156682546555017</v>
      </c>
    </row>
    <row r="39" spans="14:65" x14ac:dyDescent="0.3">
      <c r="AF39" t="s">
        <v>540</v>
      </c>
      <c r="AG39" t="s">
        <v>505</v>
      </c>
      <c r="AH39">
        <v>1</v>
      </c>
      <c r="AI39" t="s">
        <v>496</v>
      </c>
      <c r="AJ39" t="s">
        <v>506</v>
      </c>
      <c r="AK39">
        <v>0.36</v>
      </c>
      <c r="AM39">
        <v>133.68225802590001</v>
      </c>
      <c r="AN39">
        <v>131.09202232110002</v>
      </c>
      <c r="AO39">
        <v>131.20196236267503</v>
      </c>
      <c r="AP39">
        <v>129.89838758400001</v>
      </c>
      <c r="AQ39">
        <v>128.87872390170003</v>
      </c>
      <c r="AR39">
        <v>124.24795269997502</v>
      </c>
      <c r="AS39">
        <v>122.56864876822502</v>
      </c>
      <c r="AT39">
        <v>123.72845580022502</v>
      </c>
      <c r="AU39">
        <v>121.11043305195003</v>
      </c>
      <c r="AV39">
        <v>121.24453574002503</v>
      </c>
      <c r="AW39">
        <v>120.23900720592754</v>
      </c>
      <c r="AX39">
        <v>113.93183159003254</v>
      </c>
      <c r="AY39">
        <v>105.27399290938502</v>
      </c>
      <c r="AZ39">
        <v>96.196328245800018</v>
      </c>
      <c r="BA39">
        <v>85.389222158977518</v>
      </c>
      <c r="BB39">
        <v>70.052827985730019</v>
      </c>
      <c r="BC39">
        <v>49.910000170702517</v>
      </c>
      <c r="BD39">
        <v>13.679319876277503</v>
      </c>
      <c r="BE39">
        <v>0.52779676882275006</v>
      </c>
      <c r="BF39">
        <v>0.44752120835580012</v>
      </c>
      <c r="BG39">
        <v>0.53551431811485017</v>
      </c>
      <c r="BH39">
        <v>0.36442224264532513</v>
      </c>
      <c r="BI39">
        <v>1.3347566739832504</v>
      </c>
      <c r="BJ39">
        <v>1.1415944372006253</v>
      </c>
      <c r="BK39">
        <v>0.48774114158737503</v>
      </c>
      <c r="BL39">
        <v>0.8132905185435001</v>
      </c>
      <c r="BM39">
        <v>0.50674264679497505</v>
      </c>
    </row>
    <row r="40" spans="14:65" x14ac:dyDescent="0.3">
      <c r="AB40" s="26"/>
      <c r="AF40" t="s">
        <v>507</v>
      </c>
      <c r="AG40" t="s">
        <v>508</v>
      </c>
      <c r="AH40">
        <v>4</v>
      </c>
      <c r="AI40" t="s">
        <v>493</v>
      </c>
      <c r="AJ40">
        <v>1</v>
      </c>
      <c r="AK40">
        <v>1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1.0882215673467753E-2</v>
      </c>
      <c r="BC40">
        <v>1.5505713918596254E-2</v>
      </c>
      <c r="BD40">
        <v>1.6944237077973753E-2</v>
      </c>
      <c r="BE40">
        <v>2.7324328794525007E-2</v>
      </c>
      <c r="BF40">
        <v>2.6111859274478254E-2</v>
      </c>
      <c r="BG40">
        <v>2.4598637293446003E-2</v>
      </c>
      <c r="BH40">
        <v>2.1078550463386504E-2</v>
      </c>
      <c r="BI40">
        <v>2.3970275589890254E-2</v>
      </c>
      <c r="BJ40">
        <v>1.6640983783075502E-2</v>
      </c>
      <c r="BK40">
        <v>1.9024169770017006E-2</v>
      </c>
      <c r="BL40">
        <v>2.1731268114614254E-2</v>
      </c>
      <c r="BM40">
        <v>2.7767628788537255E-2</v>
      </c>
    </row>
    <row r="41" spans="14:65" x14ac:dyDescent="0.3">
      <c r="AF41" t="s">
        <v>34</v>
      </c>
      <c r="AG41" t="s">
        <v>509</v>
      </c>
      <c r="AH41">
        <v>2</v>
      </c>
      <c r="AI41" t="s">
        <v>510</v>
      </c>
      <c r="AJ41" t="s">
        <v>511</v>
      </c>
      <c r="AK41">
        <v>1</v>
      </c>
      <c r="AM41">
        <v>4.7604787044016508</v>
      </c>
      <c r="AN41">
        <v>5.706076626385201</v>
      </c>
      <c r="AO41">
        <v>6.0842896995204008</v>
      </c>
      <c r="AP41">
        <v>6.339787939876051</v>
      </c>
      <c r="AQ41">
        <v>6.1424177782054512</v>
      </c>
      <c r="AR41">
        <v>5.8259209367605518</v>
      </c>
      <c r="AS41">
        <v>5.7826021441153515</v>
      </c>
      <c r="AT41">
        <v>5.9993483320143017</v>
      </c>
      <c r="AU41">
        <v>5.7984987492477007</v>
      </c>
      <c r="AV41">
        <v>5.983647444318601</v>
      </c>
      <c r="AW41">
        <v>6.0772221254191514</v>
      </c>
      <c r="AX41">
        <v>6.0406012183837507</v>
      </c>
      <c r="AY41">
        <v>5.8017607065251999</v>
      </c>
      <c r="AZ41">
        <v>6.1579664412282007</v>
      </c>
      <c r="BA41">
        <v>6.0831806340460517</v>
      </c>
      <c r="BB41">
        <v>6.2773758239665511</v>
      </c>
      <c r="BC41">
        <v>7.2060768072526518</v>
      </c>
      <c r="BD41">
        <v>4.5671316233733013</v>
      </c>
      <c r="BE41">
        <v>4.7585215300351518</v>
      </c>
      <c r="BF41">
        <v>8.8833752393431524</v>
      </c>
      <c r="BG41">
        <v>8.8165486079181008</v>
      </c>
      <c r="BH41">
        <v>8.7576159131046012</v>
      </c>
      <c r="BI41">
        <v>8.5915387949161524</v>
      </c>
      <c r="BJ41">
        <v>7.5978161298985514</v>
      </c>
      <c r="BK41">
        <v>8.4608647863795028</v>
      </c>
      <c r="BL41">
        <v>8.6005200506202026</v>
      </c>
      <c r="BM41">
        <v>7.5034368326695509</v>
      </c>
    </row>
    <row r="42" spans="14:65" x14ac:dyDescent="0.3">
      <c r="N42" s="26"/>
      <c r="T42" s="26"/>
      <c r="U42" s="26"/>
      <c r="AF42" t="s">
        <v>14</v>
      </c>
      <c r="AG42" t="s">
        <v>505</v>
      </c>
      <c r="AH42">
        <v>1</v>
      </c>
      <c r="AI42" t="s">
        <v>512</v>
      </c>
      <c r="AJ42" t="s">
        <v>513</v>
      </c>
      <c r="AK42">
        <v>1</v>
      </c>
      <c r="AM42">
        <v>92.034167410296021</v>
      </c>
      <c r="AN42">
        <v>90.361870646031008</v>
      </c>
      <c r="AO42">
        <v>90.426674863944015</v>
      </c>
      <c r="AP42">
        <v>89.570737274328025</v>
      </c>
      <c r="AQ42">
        <v>88.67261170392301</v>
      </c>
      <c r="AR42">
        <v>85.320624405564004</v>
      </c>
      <c r="AS42">
        <v>84.312897070635017</v>
      </c>
      <c r="AT42">
        <v>84.962678960313013</v>
      </c>
      <c r="AU42">
        <v>83.389980624921009</v>
      </c>
      <c r="AV42">
        <v>83.307779301528015</v>
      </c>
      <c r="AW42">
        <v>82.604936240136013</v>
      </c>
      <c r="AX42">
        <v>78.352213805550008</v>
      </c>
      <c r="AY42">
        <v>72.224953255494015</v>
      </c>
      <c r="AZ42">
        <v>66.275143181334016</v>
      </c>
      <c r="BA42">
        <v>58.480370071020012</v>
      </c>
      <c r="BB42">
        <v>47.992959960039002</v>
      </c>
      <c r="BC42">
        <v>33.998641326399607</v>
      </c>
      <c r="BD42">
        <v>9.2437780257432021</v>
      </c>
      <c r="BE42">
        <v>0.18628907533511402</v>
      </c>
      <c r="BF42">
        <v>0.20577774782144703</v>
      </c>
      <c r="BG42">
        <v>0.17025155364837602</v>
      </c>
      <c r="BH42">
        <v>0.19101586889403005</v>
      </c>
      <c r="BI42">
        <v>0.19088147625419705</v>
      </c>
      <c r="BJ42">
        <v>0.22064748880284002</v>
      </c>
      <c r="BK42">
        <v>0.24528787914943803</v>
      </c>
      <c r="BL42">
        <v>0.26730435106201506</v>
      </c>
      <c r="BM42">
        <v>0.27065111922873003</v>
      </c>
    </row>
    <row r="43" spans="14:65" x14ac:dyDescent="0.3">
      <c r="N43" s="26"/>
      <c r="AF43" t="s">
        <v>514</v>
      </c>
      <c r="AG43" t="s">
        <v>500</v>
      </c>
      <c r="AH43">
        <v>1</v>
      </c>
      <c r="AI43" t="s">
        <v>496</v>
      </c>
      <c r="AJ43" t="s">
        <v>515</v>
      </c>
      <c r="AK43">
        <v>1</v>
      </c>
      <c r="AM43">
        <v>2.8119724457070606E-2</v>
      </c>
      <c r="AN43">
        <v>3.2461954999351207E-2</v>
      </c>
      <c r="AO43">
        <v>4.9869672713694017E-2</v>
      </c>
      <c r="AP43">
        <v>4.1201347444465505E-2</v>
      </c>
      <c r="AQ43">
        <v>4.3830267546312002E-2</v>
      </c>
      <c r="AR43">
        <v>4.0337320200801309E-2</v>
      </c>
      <c r="AS43">
        <v>3.9315718674252008E-2</v>
      </c>
      <c r="AT43">
        <v>3.7520206910424909E-2</v>
      </c>
      <c r="AU43">
        <v>4.3081713590271312E-2</v>
      </c>
      <c r="AV43">
        <v>5.8391209905435018E-2</v>
      </c>
      <c r="AW43">
        <v>9.3958287276384014E-2</v>
      </c>
      <c r="AX43">
        <v>0.10206968770643401</v>
      </c>
      <c r="AY43">
        <v>0.13174045110257401</v>
      </c>
      <c r="AZ43">
        <v>0.18897736305941104</v>
      </c>
      <c r="BA43">
        <v>0.25822393185672904</v>
      </c>
      <c r="BB43">
        <v>0.35918672872699808</v>
      </c>
      <c r="BC43">
        <v>0.58478195432835012</v>
      </c>
      <c r="BD43">
        <v>0.59242798218681003</v>
      </c>
      <c r="BE43">
        <v>1.14557764947615</v>
      </c>
      <c r="BF43">
        <v>1.2234731892628501</v>
      </c>
      <c r="BG43">
        <v>1.2038188093468203</v>
      </c>
      <c r="BH43">
        <v>1.2651957974802603</v>
      </c>
      <c r="BI43">
        <v>1.2062239591794301</v>
      </c>
      <c r="BJ43">
        <v>1.1118142170158403</v>
      </c>
      <c r="BK43">
        <v>1.2323718087158699</v>
      </c>
      <c r="BL43">
        <v>1.2976892412405303</v>
      </c>
      <c r="BM43">
        <v>1.3104239224518903</v>
      </c>
    </row>
    <row r="44" spans="14:65" x14ac:dyDescent="0.3">
      <c r="N44" s="26"/>
      <c r="S44" s="26"/>
      <c r="AF44" t="s">
        <v>516</v>
      </c>
      <c r="AG44" t="s">
        <v>517</v>
      </c>
      <c r="AH44">
        <v>2</v>
      </c>
      <c r="AI44" t="s">
        <v>496</v>
      </c>
      <c r="AJ44" t="s">
        <v>518</v>
      </c>
      <c r="AK44">
        <v>1</v>
      </c>
      <c r="AM44">
        <v>1.2678575546187001E-2</v>
      </c>
      <c r="AN44">
        <v>1.2038427303668551E-2</v>
      </c>
      <c r="AO44">
        <v>1.1153045113027652E-2</v>
      </c>
      <c r="AP44">
        <v>1.3338860938298553E-2</v>
      </c>
      <c r="AQ44">
        <v>1.3736428291280254E-2</v>
      </c>
      <c r="AR44">
        <v>1.3820238846930153E-2</v>
      </c>
      <c r="AS44">
        <v>1.6336795393757701E-2</v>
      </c>
      <c r="AT44">
        <v>1.6610277891903304E-2</v>
      </c>
      <c r="AU44">
        <v>1.8886123738033202E-2</v>
      </c>
      <c r="AV44">
        <v>2.0236530558154504E-2</v>
      </c>
      <c r="AW44">
        <v>2.9181687268333503E-2</v>
      </c>
      <c r="AX44">
        <v>2.8198968272532002E-2</v>
      </c>
      <c r="AY44">
        <v>2.6754791053873506E-2</v>
      </c>
      <c r="AZ44">
        <v>3.6474118957912506E-2</v>
      </c>
      <c r="BA44">
        <v>5.0330043617458506E-2</v>
      </c>
      <c r="BB44">
        <v>5.6016287543596506E-2</v>
      </c>
      <c r="BC44">
        <v>8.490983525241752E-2</v>
      </c>
      <c r="BD44">
        <v>7.6992412548469516E-2</v>
      </c>
      <c r="BE44">
        <v>0.12379323585549153</v>
      </c>
      <c r="BF44">
        <v>0.13757043861274054</v>
      </c>
      <c r="BG44">
        <v>0.14394256342242753</v>
      </c>
      <c r="BH44">
        <v>0.14427680531146203</v>
      </c>
      <c r="BI44">
        <v>0.14307379546752003</v>
      </c>
      <c r="BJ44">
        <v>0.12779522250734701</v>
      </c>
      <c r="BK44">
        <v>0.14164375339706403</v>
      </c>
      <c r="BL44">
        <v>0.14347305903828603</v>
      </c>
      <c r="BM44">
        <v>0.13400359706170353</v>
      </c>
    </row>
    <row r="45" spans="14:65" x14ac:dyDescent="0.3">
      <c r="N45" s="26"/>
      <c r="R45" s="26"/>
      <c r="AE45" s="26"/>
      <c r="AF45" t="s">
        <v>519</v>
      </c>
      <c r="AG45" t="s">
        <v>520</v>
      </c>
      <c r="AH45">
        <v>4</v>
      </c>
      <c r="AI45" t="s">
        <v>493</v>
      </c>
      <c r="AJ45">
        <v>1</v>
      </c>
      <c r="AK45">
        <v>1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1.460921932683E-2</v>
      </c>
      <c r="AW45">
        <v>2.2363217971175256E-2</v>
      </c>
      <c r="AX45">
        <v>3.9208835207459262E-2</v>
      </c>
      <c r="AY45">
        <v>4.0550586967604253E-2</v>
      </c>
      <c r="AZ45">
        <v>0.14523538582341</v>
      </c>
      <c r="BA45">
        <v>0.12720111135520504</v>
      </c>
      <c r="BB45">
        <v>0.21751166054007004</v>
      </c>
      <c r="BC45">
        <v>0.62634798859644003</v>
      </c>
      <c r="BD45">
        <v>0.35098551573990755</v>
      </c>
      <c r="BE45">
        <v>0.77630777587676258</v>
      </c>
      <c r="BF45">
        <v>0.16151690191450505</v>
      </c>
      <c r="BG45">
        <v>4.1864285895162764E-2</v>
      </c>
      <c r="BH45">
        <v>4.4172773060449505E-2</v>
      </c>
      <c r="BI45">
        <v>4.4011306175213261E-2</v>
      </c>
      <c r="BJ45">
        <v>5.1429431951885263E-2</v>
      </c>
      <c r="BK45">
        <v>4.6741238220753011E-2</v>
      </c>
      <c r="BL45">
        <v>5.218761955508551E-2</v>
      </c>
      <c r="BM45">
        <v>5.0352224926945501E-2</v>
      </c>
    </row>
    <row r="46" spans="14:65" x14ac:dyDescent="0.3">
      <c r="N46" s="26"/>
      <c r="R46" s="26"/>
      <c r="S46" s="26"/>
      <c r="T46" s="26"/>
      <c r="U46" s="26"/>
      <c r="AF46" t="s">
        <v>538</v>
      </c>
      <c r="AG46" t="s">
        <v>521</v>
      </c>
      <c r="AH46">
        <v>3</v>
      </c>
      <c r="AI46" t="s">
        <v>493</v>
      </c>
      <c r="AJ46" s="26">
        <v>1</v>
      </c>
      <c r="AK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1.0419880346542803E-2</v>
      </c>
      <c r="AY46">
        <v>1.0989824019655503E-2</v>
      </c>
      <c r="AZ46">
        <v>1.8958060769193003E-2</v>
      </c>
      <c r="BA46">
        <v>1.5676241796270005E-2</v>
      </c>
      <c r="BB46">
        <v>2.5006164489315003E-2</v>
      </c>
      <c r="BC46">
        <v>5.4412636858038009E-2</v>
      </c>
      <c r="BD46">
        <v>4.8897609444999011E-2</v>
      </c>
      <c r="BE46">
        <v>2.5885298219571008E-2</v>
      </c>
      <c r="BF46">
        <v>2.2203780748245004E-2</v>
      </c>
      <c r="BG46">
        <v>1.7506272316887006E-2</v>
      </c>
      <c r="BH46">
        <v>1.4420069297498703E-2</v>
      </c>
      <c r="BI46">
        <v>1.4146470818649903E-2</v>
      </c>
      <c r="BJ46">
        <v>1.2808589914474202E-2</v>
      </c>
      <c r="BK46">
        <v>1.4065820737162203E-2</v>
      </c>
      <c r="BL46">
        <v>1.5804835400943001E-2</v>
      </c>
      <c r="BM46">
        <v>1.4877279727101003E-2</v>
      </c>
    </row>
    <row r="47" spans="14:65" x14ac:dyDescent="0.3">
      <c r="N47" s="26"/>
      <c r="AF47" t="s">
        <v>539</v>
      </c>
      <c r="AG47" t="s">
        <v>522</v>
      </c>
      <c r="AH47">
        <v>2</v>
      </c>
      <c r="AI47" t="s">
        <v>510</v>
      </c>
      <c r="AJ47" t="s">
        <v>523</v>
      </c>
      <c r="AK47">
        <v>1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1.2507714223991551E-2</v>
      </c>
      <c r="AU47">
        <v>1.4645753248338002E-2</v>
      </c>
      <c r="AV47">
        <v>2.0866849436076751E-2</v>
      </c>
      <c r="AW47">
        <v>2.8942477067983505E-2</v>
      </c>
      <c r="AX47">
        <v>3.6839675636811002E-2</v>
      </c>
      <c r="AY47">
        <v>4.8727987666569009E-2</v>
      </c>
      <c r="AZ47">
        <v>6.4695051076113008E-2</v>
      </c>
      <c r="BA47">
        <v>8.3849699137230019E-2</v>
      </c>
      <c r="BB47">
        <v>0.10619497634337902</v>
      </c>
      <c r="BC47">
        <v>0.14457103385789255</v>
      </c>
      <c r="BD47">
        <v>0.13446701245892703</v>
      </c>
      <c r="BE47">
        <v>0.23054644182096001</v>
      </c>
      <c r="BF47">
        <v>0.23457822101595002</v>
      </c>
      <c r="BG47">
        <v>0.23667239758810504</v>
      </c>
      <c r="BH47">
        <v>0.25687913560312503</v>
      </c>
      <c r="BI47">
        <v>0.24509042200224004</v>
      </c>
      <c r="BJ47">
        <v>0.23332128014502002</v>
      </c>
      <c r="BK47">
        <v>0.26018023636795506</v>
      </c>
      <c r="BL47">
        <v>0.26948551316157004</v>
      </c>
      <c r="BM47">
        <v>0.27358470614029506</v>
      </c>
    </row>
    <row r="48" spans="14:65" x14ac:dyDescent="0.3">
      <c r="N48" s="26"/>
      <c r="AF48" t="s">
        <v>524</v>
      </c>
      <c r="AG48" t="s">
        <v>525</v>
      </c>
      <c r="AH48">
        <v>3</v>
      </c>
      <c r="AI48" t="s">
        <v>493</v>
      </c>
      <c r="AJ48" t="s">
        <v>526</v>
      </c>
      <c r="AK48">
        <v>1</v>
      </c>
      <c r="AM48">
        <v>0</v>
      </c>
      <c r="AN48">
        <v>1.0281065942400303E-2</v>
      </c>
      <c r="AO48">
        <v>0</v>
      </c>
      <c r="AP48">
        <v>1.3353481755695701E-2</v>
      </c>
      <c r="AQ48">
        <v>1.5184628590581003E-2</v>
      </c>
      <c r="AR48">
        <v>1.6618295058012003E-2</v>
      </c>
      <c r="AS48">
        <v>1.9059543884493005E-2</v>
      </c>
      <c r="AT48">
        <v>2.6632213948179002E-2</v>
      </c>
      <c r="AU48">
        <v>3.2174351850591004E-2</v>
      </c>
      <c r="AV48">
        <v>4.8116479408947005E-2</v>
      </c>
      <c r="AW48">
        <v>6.3152942651190008E-2</v>
      </c>
      <c r="AX48">
        <v>8.5358753061741025E-2</v>
      </c>
      <c r="AY48">
        <v>0.11205113199970501</v>
      </c>
      <c r="AZ48">
        <v>0.15368168053395004</v>
      </c>
      <c r="BA48">
        <v>0.24810737004423</v>
      </c>
      <c r="BB48">
        <v>0.39624082368885016</v>
      </c>
      <c r="BC48">
        <v>0.60897262949829001</v>
      </c>
      <c r="BD48">
        <v>0.54851188892013014</v>
      </c>
      <c r="BE48">
        <v>0.80867690282079008</v>
      </c>
      <c r="BF48">
        <v>0.76565096145117018</v>
      </c>
      <c r="BG48">
        <v>0.74894684067279016</v>
      </c>
      <c r="BH48">
        <v>0.79995225442257012</v>
      </c>
      <c r="BI48">
        <v>0.75757000595571022</v>
      </c>
      <c r="BJ48">
        <v>0.70681974975297013</v>
      </c>
      <c r="BK48">
        <v>0.7831379519761501</v>
      </c>
      <c r="BL48">
        <v>0.81343066189320012</v>
      </c>
      <c r="BM48">
        <v>0.82642774944555009</v>
      </c>
    </row>
    <row r="49" spans="14:65" x14ac:dyDescent="0.3">
      <c r="N49" s="26"/>
      <c r="AF49" t="s">
        <v>527</v>
      </c>
      <c r="AG49" t="s">
        <v>528</v>
      </c>
      <c r="AH49">
        <v>3</v>
      </c>
      <c r="AI49" t="s">
        <v>493</v>
      </c>
      <c r="AJ49">
        <v>1</v>
      </c>
      <c r="AK49">
        <v>1</v>
      </c>
      <c r="AM49">
        <v>1.1816302510658704E-2</v>
      </c>
      <c r="AN49">
        <v>0.10958103297330302</v>
      </c>
      <c r="AO49">
        <v>0.18729288832131002</v>
      </c>
      <c r="AP49">
        <v>0.46851129937035008</v>
      </c>
      <c r="AQ49">
        <v>0.5872784389647302</v>
      </c>
      <c r="AR49">
        <v>0.87236770598307023</v>
      </c>
      <c r="AS49">
        <v>1.2432203537414401</v>
      </c>
      <c r="AT49">
        <v>1.8921381871806</v>
      </c>
      <c r="AU49">
        <v>2.4550505301618002</v>
      </c>
      <c r="AV49">
        <v>3.3548578207632009</v>
      </c>
      <c r="AW49">
        <v>4.1606627514210004</v>
      </c>
      <c r="AX49">
        <v>4.984952106651301</v>
      </c>
      <c r="AY49">
        <v>5.6399241327975016</v>
      </c>
      <c r="AZ49">
        <v>7.0607167421733008</v>
      </c>
      <c r="BA49">
        <v>8.6985527400000002</v>
      </c>
      <c r="BB49">
        <v>11.148210167463002</v>
      </c>
      <c r="BC49">
        <v>15.568524718173004</v>
      </c>
      <c r="BD49">
        <v>11.493629696768402</v>
      </c>
      <c r="BE49">
        <v>10.302101942443201</v>
      </c>
      <c r="BF49">
        <v>2.1002365638972007</v>
      </c>
      <c r="BG49">
        <v>5.6758346580258009E-2</v>
      </c>
      <c r="BH49">
        <v>3.7647626210478007E-2</v>
      </c>
      <c r="BI49">
        <v>3.4205608891260009E-2</v>
      </c>
      <c r="BJ49">
        <v>3.8400775901883004E-2</v>
      </c>
      <c r="BK49">
        <v>3.4070346396153008E-2</v>
      </c>
      <c r="BL49">
        <v>3.6958120929954E-2</v>
      </c>
      <c r="BM49">
        <v>3.8127496369968011E-2</v>
      </c>
    </row>
    <row r="50" spans="14:65" x14ac:dyDescent="0.3">
      <c r="AB50" s="26"/>
      <c r="AF50" t="s">
        <v>529</v>
      </c>
      <c r="AG50" t="s">
        <v>509</v>
      </c>
      <c r="AH50">
        <v>3</v>
      </c>
      <c r="AI50" t="s">
        <v>530</v>
      </c>
      <c r="AJ50" t="s">
        <v>511</v>
      </c>
      <c r="AK50">
        <v>1</v>
      </c>
      <c r="AM50">
        <v>4.1376840745995009</v>
      </c>
      <c r="AN50">
        <v>5.0042773913220007</v>
      </c>
      <c r="AO50">
        <v>5.4363200083299006</v>
      </c>
      <c r="AP50">
        <v>5.6290074491088014</v>
      </c>
      <c r="AQ50">
        <v>5.4659820731733006</v>
      </c>
      <c r="AR50">
        <v>5.2011981277677011</v>
      </c>
      <c r="AS50">
        <v>5.119315751308501</v>
      </c>
      <c r="AT50">
        <v>5.3266167606906007</v>
      </c>
      <c r="AU50">
        <v>5.1274923908841012</v>
      </c>
      <c r="AV50">
        <v>5.2898218826004006</v>
      </c>
      <c r="AW50">
        <v>5.3610630295410004</v>
      </c>
      <c r="AX50">
        <v>5.3346484243872014</v>
      </c>
      <c r="AY50">
        <v>5.145425907116401</v>
      </c>
      <c r="AZ50">
        <v>5.4516004659765009</v>
      </c>
      <c r="BA50">
        <v>5.3861583541959011</v>
      </c>
      <c r="BB50">
        <v>5.610407043833102</v>
      </c>
      <c r="BC50">
        <v>6.4910195280549017</v>
      </c>
      <c r="BD50">
        <v>4.1127482234115016</v>
      </c>
      <c r="BE50">
        <v>4.5216961828947007</v>
      </c>
      <c r="BF50">
        <v>8.8222026671991003</v>
      </c>
      <c r="BG50">
        <v>8.7218938565190012</v>
      </c>
      <c r="BH50">
        <v>8.6836637172267022</v>
      </c>
      <c r="BI50">
        <v>8.4638367918990021</v>
      </c>
      <c r="BJ50">
        <v>7.4664172419669015</v>
      </c>
      <c r="BK50">
        <v>8.2556369320671017</v>
      </c>
      <c r="BL50">
        <v>8.3501612051751</v>
      </c>
      <c r="BM50">
        <v>7.2569850871635024</v>
      </c>
    </row>
    <row r="51" spans="14:65" x14ac:dyDescent="0.3">
      <c r="N51" s="26"/>
      <c r="AF51" t="s">
        <v>531</v>
      </c>
      <c r="AH51">
        <v>9</v>
      </c>
      <c r="AI51" t="s">
        <v>493</v>
      </c>
      <c r="AJ51">
        <v>1</v>
      </c>
      <c r="AK51">
        <v>1</v>
      </c>
      <c r="AM51">
        <v>4.8325293000000009</v>
      </c>
      <c r="AN51">
        <v>4.8325293000000009</v>
      </c>
      <c r="AO51">
        <v>4.8325293000000009</v>
      </c>
      <c r="AP51">
        <v>4.8325293000000009</v>
      </c>
      <c r="AQ51">
        <v>4.8325293000000009</v>
      </c>
      <c r="AR51">
        <v>4.8325293000000009</v>
      </c>
      <c r="AS51">
        <v>4.8325293000000009</v>
      </c>
      <c r="AT51">
        <v>4.8325293000000009</v>
      </c>
      <c r="AU51">
        <v>4.8325293000000009</v>
      </c>
      <c r="AV51">
        <v>4.8325293000000009</v>
      </c>
      <c r="AW51">
        <v>4.8325293000000009</v>
      </c>
      <c r="AX51">
        <v>4.8325293000000009</v>
      </c>
      <c r="AY51">
        <v>4.8325293000000009</v>
      </c>
      <c r="AZ51">
        <v>4.8325293000000009</v>
      </c>
      <c r="BA51">
        <v>4.8325293000000009</v>
      </c>
      <c r="BB51">
        <v>4.8325293000000009</v>
      </c>
      <c r="BC51">
        <v>4.8325293000000009</v>
      </c>
      <c r="BD51">
        <v>4.8325293000000009</v>
      </c>
      <c r="BE51">
        <v>4.8325293000000009</v>
      </c>
      <c r="BF51">
        <v>4.8325293000000009</v>
      </c>
      <c r="BG51">
        <v>4.8325293000000009</v>
      </c>
      <c r="BH51">
        <v>4.8325293000000009</v>
      </c>
      <c r="BI51">
        <v>4.8325293000000009</v>
      </c>
      <c r="BJ51">
        <v>4.8325293000000009</v>
      </c>
      <c r="BK51">
        <v>4.8325293000000009</v>
      </c>
      <c r="BL51">
        <v>4.8325293000000009</v>
      </c>
      <c r="BM51">
        <v>4.8325293000000009</v>
      </c>
    </row>
    <row r="52" spans="14:65" x14ac:dyDescent="0.3">
      <c r="N52" s="26"/>
    </row>
    <row r="53" spans="14:65" x14ac:dyDescent="0.3">
      <c r="N53" s="26"/>
      <c r="T53" s="26"/>
      <c r="U53" s="26"/>
    </row>
    <row r="54" spans="14:65" x14ac:dyDescent="0.3">
      <c r="T54" s="26"/>
      <c r="U54" s="26"/>
    </row>
    <row r="55" spans="14:65" x14ac:dyDescent="0.3">
      <c r="N55" s="26"/>
      <c r="T55" s="26"/>
      <c r="U55" s="26"/>
    </row>
    <row r="56" spans="14:65" x14ac:dyDescent="0.3">
      <c r="N56" s="26"/>
    </row>
    <row r="57" spans="14:65" x14ac:dyDescent="0.3">
      <c r="N57" s="26"/>
    </row>
    <row r="58" spans="14:65" x14ac:dyDescent="0.3">
      <c r="N58" s="26"/>
    </row>
    <row r="59" spans="14:65" x14ac:dyDescent="0.3">
      <c r="N59" s="26"/>
      <c r="S59" s="26"/>
    </row>
    <row r="60" spans="14:65" x14ac:dyDescent="0.3">
      <c r="N60" s="26"/>
    </row>
  </sheetData>
  <mergeCells count="1">
    <mergeCell ref="AM2:BM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46D10-7631-47D1-8B21-13F6A038C054}">
  <dimension ref="A1:AD19"/>
  <sheetViews>
    <sheetView tabSelected="1" workbookViewId="0">
      <selection activeCell="Q13" sqref="Q13"/>
    </sheetView>
  </sheetViews>
  <sheetFormatPr defaultRowHeight="14.4" x14ac:dyDescent="0.3"/>
  <cols>
    <col min="1" max="1" width="23.44140625" bestFit="1" customWidth="1"/>
    <col min="2" max="2" width="16.5546875" bestFit="1" customWidth="1"/>
    <col min="30" max="30" width="12" bestFit="1" customWidth="1"/>
    <col min="31" max="31" width="23.44140625" bestFit="1" customWidth="1"/>
    <col min="32" max="32" width="13.33203125" bestFit="1" customWidth="1"/>
    <col min="33" max="33" width="17.21875" bestFit="1" customWidth="1"/>
  </cols>
  <sheetData>
    <row r="1" spans="1:30" s="34" customFormat="1" x14ac:dyDescent="0.3">
      <c r="A1" s="34" t="s">
        <v>486</v>
      </c>
      <c r="B1" s="34" t="s">
        <v>484</v>
      </c>
      <c r="C1" s="34" t="s">
        <v>547</v>
      </c>
      <c r="D1" s="34" t="s">
        <v>548</v>
      </c>
      <c r="E1" s="34" t="s">
        <v>549</v>
      </c>
      <c r="F1" s="34" t="s">
        <v>550</v>
      </c>
      <c r="G1" s="34" t="s">
        <v>551</v>
      </c>
      <c r="H1" s="34" t="s">
        <v>552</v>
      </c>
      <c r="I1" s="34" t="s">
        <v>553</v>
      </c>
      <c r="J1" s="34" t="s">
        <v>554</v>
      </c>
      <c r="K1" s="34" t="s">
        <v>555</v>
      </c>
      <c r="L1" s="34" t="s">
        <v>556</v>
      </c>
      <c r="M1" s="34" t="s">
        <v>557</v>
      </c>
      <c r="N1" s="34" t="s">
        <v>558</v>
      </c>
      <c r="O1" s="34" t="s">
        <v>559</v>
      </c>
      <c r="P1" s="34" t="s">
        <v>560</v>
      </c>
      <c r="Q1" s="34" t="s">
        <v>561</v>
      </c>
      <c r="R1" s="34" t="s">
        <v>562</v>
      </c>
      <c r="S1" s="34" t="s">
        <v>563</v>
      </c>
      <c r="T1" s="34" t="s">
        <v>564</v>
      </c>
      <c r="U1" s="34" t="s">
        <v>565</v>
      </c>
      <c r="V1" s="34" t="s">
        <v>566</v>
      </c>
      <c r="W1" s="34" t="s">
        <v>567</v>
      </c>
      <c r="X1" s="34" t="s">
        <v>568</v>
      </c>
      <c r="Y1" s="34" t="s">
        <v>569</v>
      </c>
      <c r="Z1" s="34" t="s">
        <v>570</v>
      </c>
      <c r="AA1" s="34" t="s">
        <v>571</v>
      </c>
      <c r="AB1" s="34" t="s">
        <v>572</v>
      </c>
      <c r="AC1" s="34" t="s">
        <v>573</v>
      </c>
      <c r="AD1" s="34" t="s">
        <v>574</v>
      </c>
    </row>
    <row r="2" spans="1:30" x14ac:dyDescent="0.3">
      <c r="A2" t="s">
        <v>491</v>
      </c>
      <c r="B2">
        <v>8.4610000000000003</v>
      </c>
      <c r="C2">
        <v>8.4559999999999995</v>
      </c>
      <c r="D2">
        <v>1.9981600000000001E-4</v>
      </c>
      <c r="E2">
        <v>4.6523499999999999E-4</v>
      </c>
      <c r="F2">
        <v>4.1070599999999999E-4</v>
      </c>
      <c r="G2">
        <v>2.2382700000000001E-3</v>
      </c>
      <c r="H2">
        <v>3.9146500000000002E-4</v>
      </c>
      <c r="I2">
        <v>3.85972E-4</v>
      </c>
      <c r="J2">
        <v>4.3805100000000001E-4</v>
      </c>
      <c r="K2">
        <v>1.9484400000000001E-3</v>
      </c>
      <c r="L2">
        <v>1.6995599999999999E-3</v>
      </c>
      <c r="M2">
        <v>4.7573399999999997E-3</v>
      </c>
      <c r="N2">
        <v>6.0298399999999999E-3</v>
      </c>
      <c r="O2">
        <v>1.00146E-2</v>
      </c>
      <c r="P2">
        <v>1.26549E-2</v>
      </c>
      <c r="Q2">
        <v>2.6584199999999999E-2</v>
      </c>
      <c r="R2">
        <v>2.5211899999999999E-2</v>
      </c>
      <c r="S2">
        <v>4.0563500000000002E-2</v>
      </c>
      <c r="T2">
        <v>0.101269</v>
      </c>
      <c r="U2">
        <v>5.7142600000000002E-2</v>
      </c>
      <c r="V2">
        <v>1.42115E-2</v>
      </c>
      <c r="W2">
        <v>3.29138E-3</v>
      </c>
      <c r="X2">
        <v>5.59163E-4</v>
      </c>
      <c r="Y2">
        <v>3.97654E-4</v>
      </c>
      <c r="Z2">
        <v>2.81716E-4</v>
      </c>
      <c r="AA2">
        <v>3.08757E-4</v>
      </c>
      <c r="AB2">
        <v>3.2244700000000001E-4</v>
      </c>
      <c r="AC2">
        <v>3.0932099999999999E-4</v>
      </c>
      <c r="AD2">
        <v>3.3289799999999998E-4</v>
      </c>
    </row>
    <row r="3" spans="1:30" x14ac:dyDescent="0.3">
      <c r="A3" t="s">
        <v>494</v>
      </c>
      <c r="B3">
        <v>7.5579999999999998</v>
      </c>
      <c r="C3">
        <v>7.53</v>
      </c>
      <c r="D3">
        <v>3.56039E-4</v>
      </c>
      <c r="E3">
        <v>4.1345800000000001E-4</v>
      </c>
      <c r="F3">
        <v>2.0874500000000001E-4</v>
      </c>
      <c r="G3">
        <v>1.5007900000000001E-4</v>
      </c>
      <c r="H3">
        <v>1.8631400000000001E-4</v>
      </c>
      <c r="I3">
        <v>2.8676800000000002E-4</v>
      </c>
      <c r="J3">
        <v>2.4521200000000002E-4</v>
      </c>
      <c r="K3">
        <v>3.15798E-4</v>
      </c>
      <c r="L3">
        <v>1.76539E-4</v>
      </c>
      <c r="M3">
        <v>2.7266299999999997E-4</v>
      </c>
      <c r="N3">
        <v>2.9899899999999999E-4</v>
      </c>
      <c r="O3">
        <v>2.95357E-4</v>
      </c>
      <c r="P3">
        <v>4.3748099999999998E-4</v>
      </c>
      <c r="Q3">
        <v>5.0412799999999995E-4</v>
      </c>
      <c r="R3">
        <v>6.8688500000000003E-4</v>
      </c>
      <c r="S3">
        <v>1.0030600000000001E-3</v>
      </c>
      <c r="T3">
        <v>1.6647599999999999E-3</v>
      </c>
      <c r="U3">
        <v>1.5292999999999999E-3</v>
      </c>
      <c r="V3">
        <v>6.5889099999999999E-3</v>
      </c>
      <c r="W3">
        <v>8.1706399999999998E-3</v>
      </c>
      <c r="X3">
        <v>9.2313599999999992E-3</v>
      </c>
      <c r="Y3">
        <v>1.15622E-2</v>
      </c>
      <c r="Z3">
        <v>1.2228599999999999E-2</v>
      </c>
      <c r="AA3">
        <v>1.23532E-2</v>
      </c>
      <c r="AB3">
        <v>1.41624E-2</v>
      </c>
      <c r="AC3">
        <v>1.52018E-2</v>
      </c>
      <c r="AD3">
        <v>1.5565600000000001E-2</v>
      </c>
    </row>
    <row r="4" spans="1:30" x14ac:dyDescent="0.3">
      <c r="A4" t="s">
        <v>499</v>
      </c>
      <c r="B4">
        <v>6.3730000000000002</v>
      </c>
      <c r="C4">
        <v>6.3659999999999997</v>
      </c>
      <c r="D4">
        <v>3.1198499999999999E-6</v>
      </c>
      <c r="E4">
        <v>1.60385E-4</v>
      </c>
      <c r="F4">
        <v>3.2658999999999997E-4</v>
      </c>
      <c r="G4">
        <v>3.7730000000000001E-4</v>
      </c>
      <c r="H4">
        <v>4.3402099999999998E-4</v>
      </c>
      <c r="I4">
        <v>4.68138E-4</v>
      </c>
      <c r="J4">
        <v>4.58271E-4</v>
      </c>
      <c r="K4">
        <v>5.20767E-4</v>
      </c>
      <c r="L4">
        <v>5.0478199999999995E-4</v>
      </c>
      <c r="M4">
        <v>5.1619999999999997E-4</v>
      </c>
      <c r="N4">
        <v>5.6050299999999996E-4</v>
      </c>
      <c r="O4">
        <v>5.5924600000000001E-4</v>
      </c>
      <c r="P4">
        <v>5.9301199999999997E-4</v>
      </c>
      <c r="Q4">
        <v>6.1890999999999997E-4</v>
      </c>
      <c r="R4">
        <v>7.2776600000000002E-4</v>
      </c>
      <c r="S4">
        <v>7.4781499999999998E-4</v>
      </c>
      <c r="T4">
        <v>9.6138599999999995E-4</v>
      </c>
      <c r="U4">
        <v>8.3669099999999998E-4</v>
      </c>
      <c r="V4">
        <v>1.86381E-3</v>
      </c>
      <c r="W4">
        <v>2.03039E-3</v>
      </c>
      <c r="X4">
        <v>1.9791800000000001E-3</v>
      </c>
      <c r="Y4">
        <v>2.0766999999999999E-3</v>
      </c>
      <c r="Z4">
        <v>1.80993E-3</v>
      </c>
      <c r="AA4">
        <v>1.5470200000000001E-3</v>
      </c>
      <c r="AB4">
        <v>1.81291E-3</v>
      </c>
      <c r="AC4">
        <v>1.7870099999999999E-3</v>
      </c>
      <c r="AD4">
        <v>2.00884E-3</v>
      </c>
    </row>
    <row r="5" spans="1:30" x14ac:dyDescent="0.3">
      <c r="A5" t="s">
        <v>502</v>
      </c>
      <c r="B5">
        <v>6.202</v>
      </c>
      <c r="C5">
        <v>6.194</v>
      </c>
      <c r="D5">
        <v>5.70389E-5</v>
      </c>
      <c r="E5">
        <v>3.3766599999999998E-4</v>
      </c>
      <c r="F5">
        <v>4.1692600000000003E-4</v>
      </c>
      <c r="G5">
        <v>6.4093899999999998E-4</v>
      </c>
      <c r="H5">
        <v>7.36599E-4</v>
      </c>
      <c r="I5">
        <v>9.2722400000000004E-4</v>
      </c>
      <c r="J5">
        <v>1.18027E-3</v>
      </c>
      <c r="K5">
        <v>1.6697299999999999E-3</v>
      </c>
      <c r="L5">
        <v>2.2296500000000001E-3</v>
      </c>
      <c r="M5">
        <v>3.4202500000000001E-3</v>
      </c>
      <c r="N5">
        <v>4.7637199999999999E-3</v>
      </c>
      <c r="O5">
        <v>7.0146399999999999E-3</v>
      </c>
      <c r="P5">
        <v>9.1702199999999998E-3</v>
      </c>
      <c r="Q5">
        <v>1.2859799999999999E-2</v>
      </c>
      <c r="R5">
        <v>1.8443299999999999E-2</v>
      </c>
      <c r="S5">
        <v>2.87899E-2</v>
      </c>
      <c r="T5">
        <v>3.9219400000000001E-2</v>
      </c>
      <c r="U5">
        <v>4.5876899999999998E-2</v>
      </c>
      <c r="V5">
        <v>5.7460499999999998E-2</v>
      </c>
      <c r="W5">
        <v>5.4660300000000002E-2</v>
      </c>
      <c r="X5">
        <v>4.4379200000000001E-2</v>
      </c>
      <c r="Y5">
        <v>3.4846000000000002E-2</v>
      </c>
      <c r="Z5">
        <v>3.9997400000000002E-2</v>
      </c>
      <c r="AA5">
        <v>2.5237300000000001E-2</v>
      </c>
      <c r="AB5">
        <v>3.3058700000000003E-2</v>
      </c>
      <c r="AC5">
        <v>1.32561E-2</v>
      </c>
      <c r="AD5">
        <v>1.18192E-2</v>
      </c>
    </row>
    <row r="6" spans="1:30" x14ac:dyDescent="0.3">
      <c r="A6" t="s">
        <v>494</v>
      </c>
      <c r="B6">
        <v>5.8250000000000002</v>
      </c>
      <c r="C6">
        <v>5.798</v>
      </c>
      <c r="D6">
        <v>-9.4017200000000005E-5</v>
      </c>
      <c r="E6">
        <v>1.68455E-5</v>
      </c>
      <c r="F6">
        <v>-1.7918099999999999E-4</v>
      </c>
      <c r="G6">
        <v>-1.9561699999999999E-5</v>
      </c>
      <c r="H6">
        <v>3.17627E-5</v>
      </c>
      <c r="I6">
        <v>3.4739400000000001E-5</v>
      </c>
      <c r="J6">
        <v>8.4391699999999994E-5</v>
      </c>
      <c r="K6">
        <v>8.2034399999999995E-5</v>
      </c>
      <c r="L6">
        <v>3.3831999999999997E-5</v>
      </c>
      <c r="M6">
        <v>3.0221699999999999E-5</v>
      </c>
      <c r="N6">
        <v>-4.6553600000000001E-6</v>
      </c>
      <c r="O6">
        <v>1.72084E-4</v>
      </c>
      <c r="P6">
        <v>2.30993E-4</v>
      </c>
      <c r="Q6">
        <v>2.9000500000000003E-4</v>
      </c>
      <c r="R6">
        <v>6.0282900000000004E-4</v>
      </c>
      <c r="S6">
        <v>8.8660200000000001E-4</v>
      </c>
      <c r="T6">
        <v>1.36651E-3</v>
      </c>
      <c r="U6">
        <v>1.3601799999999999E-3</v>
      </c>
      <c r="V6">
        <v>6.3112999999999997E-3</v>
      </c>
      <c r="W6">
        <v>7.77424E-3</v>
      </c>
      <c r="X6">
        <v>7.9919399999999995E-3</v>
      </c>
      <c r="Y6">
        <v>1.0055100000000001E-2</v>
      </c>
      <c r="Z6">
        <v>1.1297400000000001E-2</v>
      </c>
      <c r="AA6">
        <v>1.1900900000000001E-2</v>
      </c>
      <c r="AB6">
        <v>1.38079E-2</v>
      </c>
      <c r="AC6">
        <v>1.5292999999999999E-2</v>
      </c>
      <c r="AD6">
        <v>1.3601500000000001E-2</v>
      </c>
    </row>
    <row r="7" spans="1:30" x14ac:dyDescent="0.3">
      <c r="A7" t="s">
        <v>540</v>
      </c>
      <c r="B7">
        <v>5.2549999999999999</v>
      </c>
      <c r="C7">
        <v>5.2270000000000003</v>
      </c>
      <c r="D7">
        <v>1.1065199999999999</v>
      </c>
      <c r="E7">
        <v>1.08508</v>
      </c>
      <c r="F7">
        <v>1.08599</v>
      </c>
      <c r="G7">
        <v>1.0751999999999999</v>
      </c>
      <c r="H7">
        <v>1.0667599999999999</v>
      </c>
      <c r="I7">
        <v>1.02843</v>
      </c>
      <c r="J7">
        <v>1.0145299999999999</v>
      </c>
      <c r="K7">
        <v>1.02413</v>
      </c>
      <c r="L7">
        <v>1.0024599999999999</v>
      </c>
      <c r="M7">
        <v>1.0035700000000001</v>
      </c>
      <c r="N7">
        <v>0.99524699999999999</v>
      </c>
      <c r="O7">
        <v>0.94304100000000002</v>
      </c>
      <c r="P7">
        <v>0.87137799999999999</v>
      </c>
      <c r="Q7">
        <v>0.79623999999999995</v>
      </c>
      <c r="R7">
        <v>0.70678700000000005</v>
      </c>
      <c r="S7">
        <v>0.57984400000000003</v>
      </c>
      <c r="T7">
        <v>0.41311700000000001</v>
      </c>
      <c r="U7">
        <v>0.11322699999999999</v>
      </c>
      <c r="V7">
        <v>4.3686999999999997E-3</v>
      </c>
      <c r="W7">
        <v>3.7042400000000001E-3</v>
      </c>
      <c r="X7">
        <v>4.4325800000000002E-3</v>
      </c>
      <c r="Y7">
        <v>3.0164100000000002E-3</v>
      </c>
      <c r="Z7">
        <v>1.10481E-2</v>
      </c>
      <c r="AA7">
        <v>9.4492499999999993E-3</v>
      </c>
      <c r="AB7">
        <v>4.0371499999999998E-3</v>
      </c>
      <c r="AC7">
        <v>6.7317999999999996E-3</v>
      </c>
      <c r="AD7">
        <v>4.1944299999999999E-3</v>
      </c>
    </row>
    <row r="8" spans="1:30" x14ac:dyDescent="0.3">
      <c r="A8" t="s">
        <v>507</v>
      </c>
      <c r="B8">
        <v>4.4349999999999996</v>
      </c>
      <c r="C8">
        <v>4.4210000000000003</v>
      </c>
      <c r="D8">
        <v>1.90488E-4</v>
      </c>
      <c r="E8">
        <v>3.2427299999999998E-4</v>
      </c>
      <c r="F8">
        <v>3.64247E-4</v>
      </c>
      <c r="G8">
        <v>3.7392399999999998E-4</v>
      </c>
      <c r="H8">
        <v>2.13379E-4</v>
      </c>
      <c r="I8">
        <v>2.86994E-4</v>
      </c>
      <c r="J8">
        <v>3.4543699999999998E-4</v>
      </c>
      <c r="K8">
        <v>1.9835299999999999E-4</v>
      </c>
      <c r="L8">
        <v>2.8636299999999998E-4</v>
      </c>
      <c r="M8">
        <v>3.2319E-4</v>
      </c>
      <c r="N8">
        <v>3.2615299999999998E-4</v>
      </c>
      <c r="O8">
        <v>3.1336100000000001E-4</v>
      </c>
      <c r="P8">
        <v>5.1360499999999999E-4</v>
      </c>
      <c r="Q8">
        <v>6.9009099999999999E-4</v>
      </c>
      <c r="R8">
        <v>5.3504400000000004E-4</v>
      </c>
      <c r="S8">
        <v>1.0008300000000001E-3</v>
      </c>
      <c r="T8">
        <v>1.4260500000000001E-3</v>
      </c>
      <c r="U8">
        <v>1.55835E-3</v>
      </c>
      <c r="V8">
        <v>2.513E-3</v>
      </c>
      <c r="W8">
        <v>2.40149E-3</v>
      </c>
      <c r="X8">
        <v>2.26232E-3</v>
      </c>
      <c r="Y8">
        <v>1.9385800000000001E-3</v>
      </c>
      <c r="Z8">
        <v>2.2045300000000001E-3</v>
      </c>
      <c r="AA8">
        <v>1.53046E-3</v>
      </c>
      <c r="AB8">
        <v>1.74964E-3</v>
      </c>
      <c r="AC8">
        <v>1.9986100000000001E-3</v>
      </c>
      <c r="AD8">
        <v>2.5537699999999999E-3</v>
      </c>
    </row>
    <row r="9" spans="1:30" x14ac:dyDescent="0.3">
      <c r="A9" t="s">
        <v>34</v>
      </c>
      <c r="B9">
        <v>3.6869999999999998</v>
      </c>
      <c r="C9">
        <v>3.64</v>
      </c>
      <c r="D9">
        <v>0.21890899999999999</v>
      </c>
      <c r="E9">
        <v>0.26239200000000001</v>
      </c>
      <c r="F9">
        <v>0.27978399999999998</v>
      </c>
      <c r="G9">
        <v>0.29153299999999999</v>
      </c>
      <c r="H9">
        <v>0.28245700000000001</v>
      </c>
      <c r="I9">
        <v>0.267903</v>
      </c>
      <c r="J9">
        <v>0.26591100000000001</v>
      </c>
      <c r="K9">
        <v>0.27587800000000001</v>
      </c>
      <c r="L9">
        <v>0.26664199999999999</v>
      </c>
      <c r="M9">
        <v>0.27515600000000001</v>
      </c>
      <c r="N9">
        <v>0.27945900000000001</v>
      </c>
      <c r="O9">
        <v>0.27777499999999999</v>
      </c>
      <c r="P9">
        <v>0.26679199999999997</v>
      </c>
      <c r="Q9">
        <v>0.28317199999999998</v>
      </c>
      <c r="R9">
        <v>0.27973300000000001</v>
      </c>
      <c r="S9">
        <v>0.288663</v>
      </c>
      <c r="T9">
        <v>0.33136900000000002</v>
      </c>
      <c r="U9">
        <v>0.21001800000000001</v>
      </c>
      <c r="V9">
        <v>0.21881900000000001</v>
      </c>
      <c r="W9">
        <v>0.408499</v>
      </c>
      <c r="X9">
        <v>0.40542600000000001</v>
      </c>
      <c r="Y9">
        <v>0.40271600000000002</v>
      </c>
      <c r="Z9">
        <v>0.39507900000000001</v>
      </c>
      <c r="AA9">
        <v>0.349383</v>
      </c>
      <c r="AB9">
        <v>0.38907000000000003</v>
      </c>
      <c r="AC9">
        <v>0.39549200000000001</v>
      </c>
      <c r="AD9">
        <v>0.34504299999999999</v>
      </c>
    </row>
    <row r="10" spans="1:30" x14ac:dyDescent="0.3">
      <c r="A10" t="s">
        <v>14</v>
      </c>
      <c r="B10">
        <v>3.2719999999999998</v>
      </c>
      <c r="C10">
        <v>3.2290000000000001</v>
      </c>
      <c r="D10">
        <v>2.1160800000000002</v>
      </c>
      <c r="E10">
        <v>2.0776300000000001</v>
      </c>
      <c r="F10">
        <v>2.0791200000000001</v>
      </c>
      <c r="G10">
        <v>2.0594399999999999</v>
      </c>
      <c r="H10">
        <v>2.0387900000000001</v>
      </c>
      <c r="I10">
        <v>1.9617199999999999</v>
      </c>
      <c r="J10">
        <v>1.93855</v>
      </c>
      <c r="K10">
        <v>1.9534899999999999</v>
      </c>
      <c r="L10">
        <v>1.91733</v>
      </c>
      <c r="M10">
        <v>1.91544</v>
      </c>
      <c r="N10">
        <v>1.8992800000000001</v>
      </c>
      <c r="O10">
        <v>1.8015000000000001</v>
      </c>
      <c r="P10">
        <v>1.66062</v>
      </c>
      <c r="Q10">
        <v>1.52382</v>
      </c>
      <c r="R10">
        <v>1.3446</v>
      </c>
      <c r="S10">
        <v>1.10347</v>
      </c>
      <c r="T10">
        <v>0.78170799999999996</v>
      </c>
      <c r="U10">
        <v>0.212536</v>
      </c>
      <c r="V10">
        <v>4.2832199999999999E-3</v>
      </c>
      <c r="W10">
        <v>4.7313099999999999E-3</v>
      </c>
      <c r="X10">
        <v>3.9144799999999997E-3</v>
      </c>
      <c r="Y10">
        <v>4.3918999999999998E-3</v>
      </c>
      <c r="Z10">
        <v>4.3888099999999999E-3</v>
      </c>
      <c r="AA10">
        <v>5.0731999999999999E-3</v>
      </c>
      <c r="AB10">
        <v>5.6397399999999999E-3</v>
      </c>
      <c r="AC10">
        <v>6.1459499999999999E-3</v>
      </c>
      <c r="AD10">
        <v>6.2229E-3</v>
      </c>
    </row>
    <row r="11" spans="1:30" x14ac:dyDescent="0.3">
      <c r="A11" t="s">
        <v>514</v>
      </c>
      <c r="B11">
        <v>2.6739999999999999</v>
      </c>
      <c r="C11">
        <v>2.653</v>
      </c>
      <c r="D11">
        <v>6.46538E-4</v>
      </c>
      <c r="E11">
        <v>7.4637599999999998E-4</v>
      </c>
      <c r="F11">
        <v>1.1466200000000001E-3</v>
      </c>
      <c r="G11">
        <v>9.4731500000000001E-4</v>
      </c>
      <c r="H11">
        <v>1.0077599999999999E-3</v>
      </c>
      <c r="I11">
        <v>9.27449E-4</v>
      </c>
      <c r="J11">
        <v>9.0395999999999998E-4</v>
      </c>
      <c r="K11">
        <v>8.6267699999999995E-4</v>
      </c>
      <c r="L11">
        <v>9.9054900000000007E-4</v>
      </c>
      <c r="M11">
        <v>1.3425500000000001E-3</v>
      </c>
      <c r="N11">
        <v>2.1603199999999999E-3</v>
      </c>
      <c r="O11">
        <v>2.3468199999999999E-3</v>
      </c>
      <c r="P11">
        <v>3.0290199999999999E-3</v>
      </c>
      <c r="Q11">
        <v>4.3450299999999997E-3</v>
      </c>
      <c r="R11">
        <v>5.9371700000000003E-3</v>
      </c>
      <c r="S11">
        <v>8.25854E-3</v>
      </c>
      <c r="T11">
        <v>1.3445500000000001E-2</v>
      </c>
      <c r="U11">
        <v>1.3621299999999999E-2</v>
      </c>
      <c r="V11">
        <v>2.6339499999999998E-2</v>
      </c>
      <c r="W11">
        <v>2.8130499999999999E-2</v>
      </c>
      <c r="X11">
        <v>2.7678600000000001E-2</v>
      </c>
      <c r="Y11">
        <v>2.9089799999999999E-2</v>
      </c>
      <c r="Z11">
        <v>2.7733899999999999E-2</v>
      </c>
      <c r="AA11">
        <v>2.5563200000000001E-2</v>
      </c>
      <c r="AB11">
        <v>2.8335099999999998E-2</v>
      </c>
      <c r="AC11">
        <v>2.98369E-2</v>
      </c>
      <c r="AD11">
        <v>3.0129699999999999E-2</v>
      </c>
    </row>
    <row r="12" spans="1:30" x14ac:dyDescent="0.3">
      <c r="A12" t="s">
        <v>516</v>
      </c>
      <c r="B12">
        <v>2.5830000000000002</v>
      </c>
      <c r="C12">
        <v>2.5630000000000002</v>
      </c>
      <c r="D12">
        <v>5.8301999999999996E-4</v>
      </c>
      <c r="E12">
        <v>5.5358299999999996E-4</v>
      </c>
      <c r="F12">
        <v>5.12869E-4</v>
      </c>
      <c r="G12">
        <v>6.1338300000000001E-4</v>
      </c>
      <c r="H12">
        <v>6.31665E-4</v>
      </c>
      <c r="I12">
        <v>6.3551899999999997E-4</v>
      </c>
      <c r="J12">
        <v>7.5124199999999995E-4</v>
      </c>
      <c r="K12">
        <v>7.6381799999999998E-4</v>
      </c>
      <c r="L12">
        <v>8.6847200000000002E-4</v>
      </c>
      <c r="M12">
        <v>9.3057000000000003E-4</v>
      </c>
      <c r="N12">
        <v>1.34191E-3</v>
      </c>
      <c r="O12">
        <v>1.2967199999999999E-3</v>
      </c>
      <c r="P12">
        <v>1.2303100000000001E-3</v>
      </c>
      <c r="Q12">
        <v>1.6772499999999999E-3</v>
      </c>
      <c r="R12">
        <v>2.3144099999999998E-3</v>
      </c>
      <c r="S12">
        <v>2.57589E-3</v>
      </c>
      <c r="T12">
        <v>3.9045500000000001E-3</v>
      </c>
      <c r="U12">
        <v>3.54047E-3</v>
      </c>
      <c r="V12">
        <v>5.69259E-3</v>
      </c>
      <c r="W12">
        <v>6.3261300000000001E-3</v>
      </c>
      <c r="X12">
        <v>6.6191499999999999E-3</v>
      </c>
      <c r="Y12">
        <v>6.6345199999999997E-3</v>
      </c>
      <c r="Z12">
        <v>6.5792000000000003E-3</v>
      </c>
      <c r="AA12">
        <v>5.8766199999999999E-3</v>
      </c>
      <c r="AB12">
        <v>6.5134399999999997E-3</v>
      </c>
      <c r="AC12">
        <v>6.5975599999999997E-3</v>
      </c>
      <c r="AD12">
        <v>6.1621100000000002E-3</v>
      </c>
    </row>
    <row r="13" spans="1:30" x14ac:dyDescent="0.3">
      <c r="A13" t="s">
        <v>519</v>
      </c>
      <c r="B13">
        <v>2.4169999999999998</v>
      </c>
      <c r="C13">
        <v>2.4009999999999998</v>
      </c>
      <c r="D13">
        <v>5.8564000000000001E-4</v>
      </c>
      <c r="E13">
        <v>8.1446999999999997E-4</v>
      </c>
      <c r="F13">
        <v>8.2113200000000003E-4</v>
      </c>
      <c r="G13">
        <v>9.0353000000000004E-4</v>
      </c>
      <c r="H13">
        <v>6.0517999999999998E-4</v>
      </c>
      <c r="I13">
        <v>5.6353299999999996E-4</v>
      </c>
      <c r="J13">
        <v>4.5702500000000001E-4</v>
      </c>
      <c r="K13">
        <v>4.72955E-4</v>
      </c>
      <c r="L13">
        <v>6.2590599999999997E-4</v>
      </c>
      <c r="M13">
        <v>1.3435999999999999E-3</v>
      </c>
      <c r="N13">
        <v>2.0567300000000001E-3</v>
      </c>
      <c r="O13">
        <v>3.6060100000000002E-3</v>
      </c>
      <c r="P13">
        <v>3.7294099999999998E-3</v>
      </c>
      <c r="Q13">
        <v>1.33572E-2</v>
      </c>
      <c r="R13">
        <v>1.16986E-2</v>
      </c>
      <c r="S13">
        <v>2.0004399999999999E-2</v>
      </c>
      <c r="T13">
        <v>5.7604799999999998E-2</v>
      </c>
      <c r="U13">
        <v>3.22799E-2</v>
      </c>
      <c r="V13">
        <v>7.1396500000000002E-2</v>
      </c>
      <c r="W13">
        <v>1.4854600000000001E-2</v>
      </c>
      <c r="X13">
        <v>3.8502300000000001E-3</v>
      </c>
      <c r="Y13">
        <v>4.0625399999999999E-3</v>
      </c>
      <c r="Z13">
        <v>4.0476899999999996E-3</v>
      </c>
      <c r="AA13">
        <v>4.7299300000000002E-3</v>
      </c>
      <c r="AB13">
        <v>4.2987600000000004E-3</v>
      </c>
      <c r="AC13">
        <v>4.7996599999999999E-3</v>
      </c>
      <c r="AD13">
        <v>4.6308599999999997E-3</v>
      </c>
    </row>
    <row r="14" spans="1:30" x14ac:dyDescent="0.3">
      <c r="A14" t="s">
        <v>538</v>
      </c>
      <c r="B14">
        <v>2.3809999999999998</v>
      </c>
      <c r="C14">
        <v>2.3730000000000002</v>
      </c>
      <c r="D14">
        <v>2.5647099999999998E-4</v>
      </c>
      <c r="E14">
        <v>2.8197399999999999E-4</v>
      </c>
      <c r="F14">
        <v>2.60955E-4</v>
      </c>
      <c r="G14">
        <v>2.96046E-4</v>
      </c>
      <c r="H14">
        <v>2.8908200000000002E-4</v>
      </c>
      <c r="I14">
        <v>2.5306900000000003E-4</v>
      </c>
      <c r="J14">
        <v>2.6831899999999999E-4</v>
      </c>
      <c r="K14">
        <v>2.64708E-4</v>
      </c>
      <c r="L14">
        <v>3.2051999999999997E-4</v>
      </c>
      <c r="M14">
        <v>4.1816999999999999E-4</v>
      </c>
      <c r="N14">
        <v>6.2147999999999999E-4</v>
      </c>
      <c r="O14">
        <v>7.1873200000000003E-4</v>
      </c>
      <c r="P14">
        <v>7.5804500000000005E-4</v>
      </c>
      <c r="Q14">
        <v>1.3076699999999999E-3</v>
      </c>
      <c r="R14">
        <v>1.0813000000000001E-3</v>
      </c>
      <c r="S14">
        <v>1.72485E-3</v>
      </c>
      <c r="T14">
        <v>3.7532199999999998E-3</v>
      </c>
      <c r="U14">
        <v>3.37281E-3</v>
      </c>
      <c r="V14">
        <v>1.78549E-3</v>
      </c>
      <c r="W14">
        <v>1.53155E-3</v>
      </c>
      <c r="X14">
        <v>1.2075300000000001E-3</v>
      </c>
      <c r="Y14">
        <v>9.9465300000000007E-4</v>
      </c>
      <c r="Z14">
        <v>9.75781E-4</v>
      </c>
      <c r="AA14">
        <v>8.8349800000000003E-4</v>
      </c>
      <c r="AB14">
        <v>9.7021800000000001E-4</v>
      </c>
      <c r="AC14">
        <v>1.0901699999999999E-3</v>
      </c>
      <c r="AD14">
        <v>1.02619E-3</v>
      </c>
    </row>
    <row r="15" spans="1:30" x14ac:dyDescent="0.3">
      <c r="A15" t="s">
        <v>539</v>
      </c>
      <c r="B15">
        <v>2.1960000000000002</v>
      </c>
      <c r="C15">
        <v>2.1880000000000002</v>
      </c>
      <c r="D15">
        <v>2.5336999999999999E-4</v>
      </c>
      <c r="E15">
        <v>3.5053800000000001E-4</v>
      </c>
      <c r="F15">
        <v>2.73563E-4</v>
      </c>
      <c r="G15">
        <v>3.3785899999999998E-4</v>
      </c>
      <c r="H15">
        <v>4.1506399999999998E-4</v>
      </c>
      <c r="I15">
        <v>3.6323300000000002E-4</v>
      </c>
      <c r="J15">
        <v>4.4514400000000002E-4</v>
      </c>
      <c r="K15">
        <v>5.7516299999999995E-4</v>
      </c>
      <c r="L15">
        <v>6.7347999999999996E-4</v>
      </c>
      <c r="M15">
        <v>9.5955499999999996E-4</v>
      </c>
      <c r="N15">
        <v>1.33091E-3</v>
      </c>
      <c r="O15">
        <v>1.6940600000000001E-3</v>
      </c>
      <c r="P15">
        <v>2.2407400000000002E-3</v>
      </c>
      <c r="Q15">
        <v>2.9749799999999999E-3</v>
      </c>
      <c r="R15">
        <v>3.8557999999999999E-3</v>
      </c>
      <c r="S15">
        <v>4.8833399999999999E-3</v>
      </c>
      <c r="T15">
        <v>6.64805E-3</v>
      </c>
      <c r="U15">
        <v>6.1834200000000002E-3</v>
      </c>
      <c r="V15">
        <v>1.0601599999999999E-2</v>
      </c>
      <c r="W15">
        <v>1.0787E-2</v>
      </c>
      <c r="X15">
        <v>1.08833E-2</v>
      </c>
      <c r="Y15">
        <v>1.18125E-2</v>
      </c>
      <c r="Z15">
        <v>1.12704E-2</v>
      </c>
      <c r="AA15">
        <v>1.07292E-2</v>
      </c>
      <c r="AB15">
        <v>1.1964300000000001E-2</v>
      </c>
      <c r="AC15">
        <v>1.2392200000000001E-2</v>
      </c>
      <c r="AD15">
        <v>1.25807E-2</v>
      </c>
    </row>
    <row r="16" spans="1:30" x14ac:dyDescent="0.3">
      <c r="A16" t="s">
        <v>524</v>
      </c>
      <c r="B16">
        <v>2.0310000000000001</v>
      </c>
      <c r="C16">
        <v>2.0190000000000001</v>
      </c>
      <c r="D16">
        <v>4.3926499999999999E-4</v>
      </c>
      <c r="E16">
        <v>7.0915699999999997E-4</v>
      </c>
      <c r="F16">
        <v>6.3526200000000004E-4</v>
      </c>
      <c r="G16">
        <v>9.2108299999999995E-4</v>
      </c>
      <c r="H16">
        <v>1.04739E-3</v>
      </c>
      <c r="I16">
        <v>1.14628E-3</v>
      </c>
      <c r="J16">
        <v>1.31467E-3</v>
      </c>
      <c r="K16">
        <v>1.83701E-3</v>
      </c>
      <c r="L16">
        <v>2.2192900000000001E-3</v>
      </c>
      <c r="M16">
        <v>3.3189299999999999E-3</v>
      </c>
      <c r="N16">
        <v>4.3560999999999999E-3</v>
      </c>
      <c r="O16">
        <v>5.8877900000000004E-3</v>
      </c>
      <c r="P16">
        <v>7.7289500000000001E-3</v>
      </c>
      <c r="Q16">
        <v>1.0600500000000001E-2</v>
      </c>
      <c r="R16">
        <v>1.7113699999999999E-2</v>
      </c>
      <c r="S16">
        <v>2.7331500000000002E-2</v>
      </c>
      <c r="T16">
        <v>4.2005099999999997E-2</v>
      </c>
      <c r="U16">
        <v>3.7834699999999999E-2</v>
      </c>
      <c r="V16">
        <v>5.5780099999999999E-2</v>
      </c>
      <c r="W16">
        <v>5.28123E-2</v>
      </c>
      <c r="X16">
        <v>5.16601E-2</v>
      </c>
      <c r="Y16">
        <v>5.51783E-2</v>
      </c>
      <c r="Z16">
        <v>5.22549E-2</v>
      </c>
      <c r="AA16">
        <v>4.87543E-2</v>
      </c>
      <c r="AB16">
        <v>5.4018499999999997E-2</v>
      </c>
      <c r="AC16">
        <v>5.6107999999999998E-2</v>
      </c>
      <c r="AD16">
        <v>5.70045E-2</v>
      </c>
    </row>
    <row r="17" spans="1:30" x14ac:dyDescent="0.3">
      <c r="A17" t="s">
        <v>527</v>
      </c>
      <c r="B17">
        <v>1.929</v>
      </c>
      <c r="C17">
        <v>1.919</v>
      </c>
      <c r="D17">
        <v>8.1505300000000004E-4</v>
      </c>
      <c r="E17">
        <v>7.5585699999999997E-3</v>
      </c>
      <c r="F17">
        <v>1.2918900000000001E-2</v>
      </c>
      <c r="G17">
        <v>3.2316499999999998E-2</v>
      </c>
      <c r="H17">
        <v>4.0508700000000002E-2</v>
      </c>
      <c r="I17">
        <v>6.0173299999999999E-2</v>
      </c>
      <c r="J17">
        <v>8.5753599999999999E-2</v>
      </c>
      <c r="K17">
        <v>0.13051399999999999</v>
      </c>
      <c r="L17">
        <v>0.16934199999999999</v>
      </c>
      <c r="M17">
        <v>0.231408</v>
      </c>
      <c r="N17">
        <v>0.28699000000000002</v>
      </c>
      <c r="O17">
        <v>0.34384700000000001</v>
      </c>
      <c r="P17">
        <v>0.38902500000000001</v>
      </c>
      <c r="Q17">
        <v>0.48702699999999999</v>
      </c>
      <c r="R17">
        <v>0.6</v>
      </c>
      <c r="S17">
        <v>0.76897000000000004</v>
      </c>
      <c r="T17">
        <v>1.0738700000000001</v>
      </c>
      <c r="U17">
        <v>0.79279599999999995</v>
      </c>
      <c r="V17">
        <v>0.71060800000000002</v>
      </c>
      <c r="W17">
        <v>0.144868</v>
      </c>
      <c r="X17">
        <v>3.91502E-3</v>
      </c>
      <c r="Y17">
        <v>2.5968200000000001E-3</v>
      </c>
      <c r="Z17">
        <v>2.3594000000000002E-3</v>
      </c>
      <c r="AA17">
        <v>2.6487699999999999E-3</v>
      </c>
      <c r="AB17">
        <v>2.3500700000000001E-3</v>
      </c>
      <c r="AC17">
        <v>2.5492599999999998E-3</v>
      </c>
      <c r="AD17">
        <v>2.62992E-3</v>
      </c>
    </row>
    <row r="18" spans="1:30" x14ac:dyDescent="0.3">
      <c r="A18" t="s">
        <v>529</v>
      </c>
      <c r="B18">
        <v>1.204</v>
      </c>
      <c r="C18">
        <v>1.173</v>
      </c>
      <c r="D18">
        <v>0.28540500000000002</v>
      </c>
      <c r="E18">
        <v>0.34517999999999999</v>
      </c>
      <c r="F18">
        <v>0.37498100000000001</v>
      </c>
      <c r="G18">
        <v>0.38827200000000001</v>
      </c>
      <c r="H18">
        <v>0.377027</v>
      </c>
      <c r="I18">
        <v>0.358763</v>
      </c>
      <c r="J18">
        <v>0.35311500000000001</v>
      </c>
      <c r="K18">
        <v>0.36741400000000002</v>
      </c>
      <c r="L18">
        <v>0.35367900000000002</v>
      </c>
      <c r="M18">
        <v>0.36487599999999998</v>
      </c>
      <c r="N18">
        <v>0.36979000000000001</v>
      </c>
      <c r="O18">
        <v>0.36796800000000002</v>
      </c>
      <c r="P18">
        <v>0.35491600000000001</v>
      </c>
      <c r="Q18">
        <v>0.37603500000000001</v>
      </c>
      <c r="R18">
        <v>0.37152099999999999</v>
      </c>
      <c r="S18">
        <v>0.38698900000000003</v>
      </c>
      <c r="T18">
        <v>0.44773099999999999</v>
      </c>
      <c r="U18">
        <v>0.28368500000000002</v>
      </c>
      <c r="V18">
        <v>0.31189299999999998</v>
      </c>
      <c r="W18">
        <v>0.60852899999999999</v>
      </c>
      <c r="X18">
        <v>0.60160999999999998</v>
      </c>
      <c r="Y18">
        <v>0.59897299999999998</v>
      </c>
      <c r="Z18">
        <v>0.58381000000000005</v>
      </c>
      <c r="AA18">
        <v>0.515011</v>
      </c>
      <c r="AB18">
        <v>0.56944899999999998</v>
      </c>
      <c r="AC18">
        <v>0.57596899999999995</v>
      </c>
      <c r="AD18">
        <v>0.50056500000000004</v>
      </c>
    </row>
    <row r="19" spans="1:30" x14ac:dyDescent="0.3">
      <c r="A19" t="s">
        <v>531</v>
      </c>
      <c r="B19">
        <v>8.0000000000000002E-3</v>
      </c>
      <c r="C19">
        <v>-8.0000000000000002E-3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5D96E-C6A3-493E-B762-0A1F10A0117D}">
  <dimension ref="A1:AC19"/>
  <sheetViews>
    <sheetView topLeftCell="B1" workbookViewId="0">
      <selection activeCell="A21" sqref="A21"/>
    </sheetView>
  </sheetViews>
  <sheetFormatPr defaultRowHeight="14.4" x14ac:dyDescent="0.3"/>
  <cols>
    <col min="1" max="1" width="23.44140625" bestFit="1" customWidth="1"/>
    <col min="2" max="2" width="13.33203125" bestFit="1" customWidth="1"/>
    <col min="3" max="3" width="17.21875" bestFit="1" customWidth="1"/>
  </cols>
  <sheetData>
    <row r="1" spans="1:29" x14ac:dyDescent="0.3">
      <c r="A1" s="34" t="s">
        <v>486</v>
      </c>
      <c r="B1" s="34" t="s">
        <v>541</v>
      </c>
      <c r="C1" s="34" t="s">
        <v>536</v>
      </c>
      <c r="D1" s="34">
        <v>0</v>
      </c>
      <c r="E1" s="34">
        <v>0.5</v>
      </c>
      <c r="F1" s="34">
        <v>1</v>
      </c>
      <c r="G1" s="34">
        <v>1.5</v>
      </c>
      <c r="H1" s="34">
        <v>2</v>
      </c>
      <c r="I1" s="34">
        <v>2.5</v>
      </c>
      <c r="J1" s="34">
        <v>3</v>
      </c>
      <c r="K1" s="34">
        <v>3.5</v>
      </c>
      <c r="L1" s="34">
        <v>4</v>
      </c>
      <c r="M1" s="34">
        <v>4.5</v>
      </c>
      <c r="N1" s="34">
        <v>5</v>
      </c>
      <c r="O1" s="34">
        <v>5.5</v>
      </c>
      <c r="P1" s="34">
        <v>6</v>
      </c>
      <c r="Q1" s="34">
        <v>6.5</v>
      </c>
      <c r="R1" s="34">
        <v>7</v>
      </c>
      <c r="S1" s="34">
        <v>7.5</v>
      </c>
      <c r="T1" s="34">
        <v>8</v>
      </c>
      <c r="U1" s="34">
        <v>8.5</v>
      </c>
      <c r="V1" s="34">
        <v>9</v>
      </c>
      <c r="W1" s="34">
        <v>9.5</v>
      </c>
      <c r="X1" s="34">
        <v>10</v>
      </c>
      <c r="Y1" s="34">
        <v>10.5</v>
      </c>
      <c r="Z1" s="34">
        <v>11</v>
      </c>
      <c r="AA1" s="34">
        <v>11.5</v>
      </c>
      <c r="AB1" s="34">
        <v>12</v>
      </c>
      <c r="AC1" s="34">
        <v>12.5</v>
      </c>
    </row>
    <row r="2" spans="1:29" x14ac:dyDescent="0.3">
      <c r="A2" t="s">
        <v>491</v>
      </c>
      <c r="B2" t="s">
        <v>492</v>
      </c>
      <c r="C2">
        <v>0</v>
      </c>
      <c r="D2">
        <v>2.0234355919969506E-2</v>
      </c>
      <c r="E2">
        <v>1.7862739008172205E-2</v>
      </c>
      <c r="F2">
        <v>9.7348548206799015E-2</v>
      </c>
      <c r="G2">
        <v>1.7025894741820504E-2</v>
      </c>
      <c r="H2">
        <v>1.6786988990816404E-2</v>
      </c>
      <c r="I2">
        <v>1.9052048631548704E-2</v>
      </c>
      <c r="J2">
        <v>8.4743040503628006E-2</v>
      </c>
      <c r="K2">
        <v>7.3918561473972008E-2</v>
      </c>
      <c r="L2">
        <v>0.20690986446055801</v>
      </c>
      <c r="M2">
        <v>0.26225440626880803</v>
      </c>
      <c r="N2">
        <v>0.4355626313500201</v>
      </c>
      <c r="O2">
        <v>0.55039657534713016</v>
      </c>
      <c r="P2">
        <v>1.1562203287535402</v>
      </c>
      <c r="Q2">
        <v>1.09653520912803</v>
      </c>
      <c r="R2">
        <v>1.7642187203449504</v>
      </c>
      <c r="S2">
        <v>4.4044686871353012</v>
      </c>
      <c r="T2">
        <v>2.4852895990036208</v>
      </c>
      <c r="U2">
        <v>0.61809741132255014</v>
      </c>
      <c r="V2">
        <v>0.14315121258690602</v>
      </c>
      <c r="W2">
        <v>2.4319544228783102E-2</v>
      </c>
      <c r="X2">
        <v>1.7295071456359803E-2</v>
      </c>
      <c r="Y2">
        <v>1.2252607418509202E-2</v>
      </c>
      <c r="Z2">
        <v>1.3428695241720903E-2</v>
      </c>
      <c r="AA2">
        <v>1.4024111176773903E-2</v>
      </c>
      <c r="AB2">
        <v>1.3453225160447703E-2</v>
      </c>
      <c r="AC2">
        <v>1.4478654050202601E-2</v>
      </c>
    </row>
    <row r="3" spans="1:29" x14ac:dyDescent="0.3">
      <c r="A3" t="s">
        <v>494</v>
      </c>
      <c r="B3" t="s">
        <v>495</v>
      </c>
      <c r="C3">
        <v>1.5485120094984301E-2</v>
      </c>
      <c r="D3">
        <v>1.7982431093874603E-2</v>
      </c>
      <c r="E3">
        <v>0</v>
      </c>
      <c r="F3">
        <v>0</v>
      </c>
      <c r="G3">
        <v>0</v>
      </c>
      <c r="H3">
        <v>1.2472332860721604E-2</v>
      </c>
      <c r="I3">
        <v>1.0664947572404404E-2</v>
      </c>
      <c r="J3">
        <v>1.3734927790932603E-2</v>
      </c>
      <c r="K3">
        <v>0</v>
      </c>
      <c r="L3">
        <v>1.1858867428733101E-2</v>
      </c>
      <c r="M3">
        <v>1.3004292853536301E-2</v>
      </c>
      <c r="N3">
        <v>1.2845892208140901E-2</v>
      </c>
      <c r="O3">
        <v>1.9027257756239702E-2</v>
      </c>
      <c r="P3">
        <v>2.1925919978553601E-2</v>
      </c>
      <c r="Q3">
        <v>2.9874526994074509E-2</v>
      </c>
      <c r="R3">
        <v>4.3625851556922009E-2</v>
      </c>
      <c r="S3">
        <v>7.2405013297212009E-2</v>
      </c>
      <c r="T3">
        <v>6.6513483526410011E-2</v>
      </c>
      <c r="U3">
        <v>0.28656990567056706</v>
      </c>
      <c r="V3">
        <v>0.35536371479776807</v>
      </c>
      <c r="W3">
        <v>0.40149735910963202</v>
      </c>
      <c r="X3">
        <v>0.50287203245214007</v>
      </c>
      <c r="Y3">
        <v>0.53185561018182004</v>
      </c>
      <c r="Z3">
        <v>0.53727480853884013</v>
      </c>
      <c r="AA3">
        <v>0.6159619166248802</v>
      </c>
      <c r="AB3">
        <v>0.66116829521466014</v>
      </c>
      <c r="AC3">
        <v>0.67699096264872016</v>
      </c>
    </row>
    <row r="4" spans="1:29" x14ac:dyDescent="0.3">
      <c r="A4" t="s">
        <v>499</v>
      </c>
      <c r="B4" t="s">
        <v>500</v>
      </c>
      <c r="C4">
        <v>0</v>
      </c>
      <c r="D4">
        <v>0</v>
      </c>
      <c r="E4">
        <v>1.4204301696783002E-2</v>
      </c>
      <c r="F4">
        <v>1.6409819744010005E-2</v>
      </c>
      <c r="G4">
        <v>1.8876772793837704E-2</v>
      </c>
      <c r="H4">
        <v>2.0360615412990606E-2</v>
      </c>
      <c r="I4">
        <v>1.9931472313562706E-2</v>
      </c>
      <c r="J4">
        <v>2.2649596073757904E-2</v>
      </c>
      <c r="K4">
        <v>2.1954364246013401E-2</v>
      </c>
      <c r="L4">
        <v>2.2450964621940003E-2</v>
      </c>
      <c r="M4">
        <v>2.4377824532141105E-2</v>
      </c>
      <c r="N4">
        <v>2.4323154128170203E-2</v>
      </c>
      <c r="O4">
        <v>2.5791730787264405E-2</v>
      </c>
      <c r="P4">
        <v>2.6918106381567004E-2</v>
      </c>
      <c r="Q4">
        <v>3.1652554666894206E-2</v>
      </c>
      <c r="R4">
        <v>3.25245410863155E-2</v>
      </c>
      <c r="S4">
        <v>4.1813334122488208E-2</v>
      </c>
      <c r="T4">
        <v>3.6390003952916708E-2</v>
      </c>
      <c r="U4">
        <v>8.1062247911697013E-2</v>
      </c>
      <c r="V4">
        <v>8.8307272488843028E-2</v>
      </c>
      <c r="W4">
        <v>8.6080008059766011E-2</v>
      </c>
      <c r="X4">
        <v>9.0321422375790023E-2</v>
      </c>
      <c r="Y4">
        <v>7.8718857803541001E-2</v>
      </c>
      <c r="Z4">
        <v>6.7284175299174007E-2</v>
      </c>
      <c r="AA4">
        <v>7.8848466239367018E-2</v>
      </c>
      <c r="AB4">
        <v>7.7722003659537006E-2</v>
      </c>
      <c r="AC4">
        <v>8.7370003431108012E-2</v>
      </c>
    </row>
    <row r="5" spans="1:29" x14ac:dyDescent="0.3">
      <c r="A5" t="s">
        <v>502</v>
      </c>
      <c r="B5" t="s">
        <v>503</v>
      </c>
      <c r="C5">
        <v>0</v>
      </c>
      <c r="D5">
        <v>1.46860275475242E-2</v>
      </c>
      <c r="E5">
        <v>1.8133263998386204E-2</v>
      </c>
      <c r="F5">
        <v>2.7876208473114304E-2</v>
      </c>
      <c r="G5">
        <v>3.2036726248656305E-2</v>
      </c>
      <c r="H5">
        <v>4.0327534328968809E-2</v>
      </c>
      <c r="I5">
        <v>5.1333204212199009E-2</v>
      </c>
      <c r="J5">
        <v>7.2621172332801007E-2</v>
      </c>
      <c r="K5">
        <v>9.6973640583705029E-2</v>
      </c>
      <c r="L5">
        <v>0.14875612504492502</v>
      </c>
      <c r="M5">
        <v>0.20718734829296404</v>
      </c>
      <c r="N5">
        <v>0.30508607996056808</v>
      </c>
      <c r="O5">
        <v>0.3988382115370141</v>
      </c>
      <c r="P5">
        <v>0.55930824262926004</v>
      </c>
      <c r="Q5">
        <v>0.80215008874821014</v>
      </c>
      <c r="R5">
        <v>1.2521523176466303</v>
      </c>
      <c r="S5">
        <v>1.7057600966557804</v>
      </c>
      <c r="T5">
        <v>1.9953131709885303</v>
      </c>
      <c r="U5">
        <v>2.4991159485838503</v>
      </c>
      <c r="V5">
        <v>2.3773275116711106</v>
      </c>
      <c r="W5">
        <v>1.9301740587950404</v>
      </c>
      <c r="X5">
        <v>1.5155488438902005</v>
      </c>
      <c r="Y5">
        <v>1.7395974668143803</v>
      </c>
      <c r="Z5">
        <v>1.0976399253260103</v>
      </c>
      <c r="AA5">
        <v>1.4378142273291903</v>
      </c>
      <c r="AB5">
        <v>0.57654442488357005</v>
      </c>
      <c r="AC5">
        <v>0.51404967272304014</v>
      </c>
    </row>
    <row r="6" spans="1:29" x14ac:dyDescent="0.3">
      <c r="A6" t="s">
        <v>494</v>
      </c>
      <c r="B6" t="s">
        <v>495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1.0046523965354102E-2</v>
      </c>
      <c r="P6">
        <v>1.2613118936818504E-2</v>
      </c>
      <c r="Q6">
        <v>2.6218699248507307E-2</v>
      </c>
      <c r="R6">
        <v>3.8560771281947404E-2</v>
      </c>
      <c r="S6">
        <v>5.9433296523687007E-2</v>
      </c>
      <c r="T6">
        <v>5.9157987329466005E-2</v>
      </c>
      <c r="U6">
        <v>0.27449587953981003</v>
      </c>
      <c r="V6">
        <v>0.33812318326708801</v>
      </c>
      <c r="W6">
        <v>0.34759155792457808</v>
      </c>
      <c r="X6">
        <v>0.43732408827987007</v>
      </c>
      <c r="Y6">
        <v>0.49135514862438018</v>
      </c>
      <c r="Z6">
        <v>0.51760303151733011</v>
      </c>
      <c r="AA6">
        <v>0.60054373189323007</v>
      </c>
      <c r="AB6">
        <v>0.66513483526410011</v>
      </c>
      <c r="AC6">
        <v>0.59156682546555017</v>
      </c>
    </row>
    <row r="7" spans="1:29" x14ac:dyDescent="0.3">
      <c r="A7" t="s">
        <v>540</v>
      </c>
      <c r="B7" t="s">
        <v>505</v>
      </c>
      <c r="C7">
        <v>133.68225802590001</v>
      </c>
      <c r="D7">
        <v>131.09202232110002</v>
      </c>
      <c r="E7">
        <v>131.20196236267503</v>
      </c>
      <c r="F7">
        <v>129.89838758400001</v>
      </c>
      <c r="G7">
        <v>128.87872390170003</v>
      </c>
      <c r="H7">
        <v>124.24795269997502</v>
      </c>
      <c r="I7">
        <v>122.56864876822502</v>
      </c>
      <c r="J7">
        <v>123.72845580022502</v>
      </c>
      <c r="K7">
        <v>121.11043305195003</v>
      </c>
      <c r="L7">
        <v>121.24453574002503</v>
      </c>
      <c r="M7">
        <v>120.23900720592754</v>
      </c>
      <c r="N7">
        <v>113.93183159003254</v>
      </c>
      <c r="O7">
        <v>105.27399290938502</v>
      </c>
      <c r="P7">
        <v>96.196328245800018</v>
      </c>
      <c r="Q7">
        <v>85.389222158977518</v>
      </c>
      <c r="R7">
        <v>70.052827985730019</v>
      </c>
      <c r="S7">
        <v>49.910000170702517</v>
      </c>
      <c r="T7">
        <v>13.679319876277503</v>
      </c>
      <c r="U7">
        <v>0.52779676882275006</v>
      </c>
      <c r="V7">
        <v>0.44752120835580012</v>
      </c>
      <c r="W7">
        <v>0.53551431811485017</v>
      </c>
      <c r="X7">
        <v>0.36442224264532513</v>
      </c>
      <c r="Y7">
        <v>1.3347566739832504</v>
      </c>
      <c r="Z7">
        <v>1.1415944372006253</v>
      </c>
      <c r="AA7">
        <v>0.48774114158737503</v>
      </c>
      <c r="AB7">
        <v>0.8132905185435001</v>
      </c>
      <c r="AC7">
        <v>0.50674264679497505</v>
      </c>
    </row>
    <row r="8" spans="1:29" x14ac:dyDescent="0.3">
      <c r="A8" t="s">
        <v>507</v>
      </c>
      <c r="B8" t="s">
        <v>508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1.0882215673467753E-2</v>
      </c>
      <c r="S8">
        <v>1.5505713918596254E-2</v>
      </c>
      <c r="T8">
        <v>1.6944237077973753E-2</v>
      </c>
      <c r="U8">
        <v>2.7324328794525007E-2</v>
      </c>
      <c r="V8">
        <v>2.6111859274478254E-2</v>
      </c>
      <c r="W8">
        <v>2.4598637293446003E-2</v>
      </c>
      <c r="X8">
        <v>2.1078550463386504E-2</v>
      </c>
      <c r="Y8">
        <v>2.3970275589890254E-2</v>
      </c>
      <c r="Z8">
        <v>1.6640983783075502E-2</v>
      </c>
      <c r="AA8">
        <v>1.9024169770017006E-2</v>
      </c>
      <c r="AB8">
        <v>2.1731268114614254E-2</v>
      </c>
      <c r="AC8">
        <v>2.7767628788537255E-2</v>
      </c>
    </row>
    <row r="9" spans="1:29" x14ac:dyDescent="0.3">
      <c r="A9" t="s">
        <v>34</v>
      </c>
      <c r="B9" t="s">
        <v>509</v>
      </c>
      <c r="C9">
        <v>4.7604787044016508</v>
      </c>
      <c r="D9">
        <v>5.706076626385201</v>
      </c>
      <c r="E9">
        <v>6.0842896995204008</v>
      </c>
      <c r="F9">
        <v>6.339787939876051</v>
      </c>
      <c r="G9">
        <v>6.1424177782054512</v>
      </c>
      <c r="H9">
        <v>5.8259209367605518</v>
      </c>
      <c r="I9">
        <v>5.7826021441153515</v>
      </c>
      <c r="J9">
        <v>5.9993483320143017</v>
      </c>
      <c r="K9">
        <v>5.7984987492477007</v>
      </c>
      <c r="L9">
        <v>5.983647444318601</v>
      </c>
      <c r="M9">
        <v>6.0772221254191514</v>
      </c>
      <c r="N9">
        <v>6.0406012183837507</v>
      </c>
      <c r="O9">
        <v>5.8017607065251999</v>
      </c>
      <c r="P9">
        <v>6.1579664412282007</v>
      </c>
      <c r="Q9">
        <v>6.0831806340460517</v>
      </c>
      <c r="R9">
        <v>6.2773758239665511</v>
      </c>
      <c r="S9">
        <v>7.2060768072526518</v>
      </c>
      <c r="T9">
        <v>4.5671316233733013</v>
      </c>
      <c r="U9">
        <v>4.7585215300351518</v>
      </c>
      <c r="V9">
        <v>8.8833752393431524</v>
      </c>
      <c r="W9">
        <v>8.8165486079181008</v>
      </c>
      <c r="X9">
        <v>8.7576159131046012</v>
      </c>
      <c r="Y9">
        <v>8.5915387949161524</v>
      </c>
      <c r="Z9">
        <v>7.5978161298985514</v>
      </c>
      <c r="AA9">
        <v>8.4608647863795028</v>
      </c>
      <c r="AB9">
        <v>8.6005200506202026</v>
      </c>
      <c r="AC9">
        <v>7.5034368326695509</v>
      </c>
    </row>
    <row r="10" spans="1:29" x14ac:dyDescent="0.3">
      <c r="A10" t="s">
        <v>14</v>
      </c>
      <c r="B10" t="s">
        <v>505</v>
      </c>
      <c r="C10">
        <v>92.034167410296021</v>
      </c>
      <c r="D10">
        <v>90.361870646031008</v>
      </c>
      <c r="E10">
        <v>90.426674863944015</v>
      </c>
      <c r="F10">
        <v>89.570737274328025</v>
      </c>
      <c r="G10">
        <v>88.67261170392301</v>
      </c>
      <c r="H10">
        <v>85.320624405564004</v>
      </c>
      <c r="I10">
        <v>84.312897070635017</v>
      </c>
      <c r="J10">
        <v>84.962678960313013</v>
      </c>
      <c r="K10">
        <v>83.389980624921009</v>
      </c>
      <c r="L10">
        <v>83.307779301528015</v>
      </c>
      <c r="M10">
        <v>82.604936240136013</v>
      </c>
      <c r="N10">
        <v>78.352213805550008</v>
      </c>
      <c r="O10">
        <v>72.224953255494015</v>
      </c>
      <c r="P10">
        <v>66.275143181334016</v>
      </c>
      <c r="Q10">
        <v>58.480370071020012</v>
      </c>
      <c r="R10">
        <v>47.992959960039002</v>
      </c>
      <c r="S10">
        <v>33.998641326399607</v>
      </c>
      <c r="T10">
        <v>9.2437780257432021</v>
      </c>
      <c r="U10">
        <v>0.18628907533511402</v>
      </c>
      <c r="V10">
        <v>0.20577774782144703</v>
      </c>
      <c r="W10">
        <v>0.17025155364837602</v>
      </c>
      <c r="X10">
        <v>0.19101586889403005</v>
      </c>
      <c r="Y10">
        <v>0.19088147625419705</v>
      </c>
      <c r="Z10">
        <v>0.22064748880284002</v>
      </c>
      <c r="AA10">
        <v>0.24528787914943803</v>
      </c>
      <c r="AB10">
        <v>0.26730435106201506</v>
      </c>
      <c r="AC10">
        <v>0.27065111922873003</v>
      </c>
    </row>
    <row r="11" spans="1:29" x14ac:dyDescent="0.3">
      <c r="A11" t="s">
        <v>514</v>
      </c>
      <c r="B11" t="s">
        <v>500</v>
      </c>
      <c r="C11">
        <v>2.8119724457070606E-2</v>
      </c>
      <c r="D11">
        <v>3.2461954999351207E-2</v>
      </c>
      <c r="E11">
        <v>4.9869672713694017E-2</v>
      </c>
      <c r="F11">
        <v>4.1201347444465505E-2</v>
      </c>
      <c r="G11">
        <v>4.3830267546312002E-2</v>
      </c>
      <c r="H11">
        <v>4.0337320200801309E-2</v>
      </c>
      <c r="I11">
        <v>3.9315718674252008E-2</v>
      </c>
      <c r="J11">
        <v>3.7520206910424909E-2</v>
      </c>
      <c r="K11">
        <v>4.3081713590271312E-2</v>
      </c>
      <c r="L11">
        <v>5.8391209905435018E-2</v>
      </c>
      <c r="M11">
        <v>9.3958287276384014E-2</v>
      </c>
      <c r="N11">
        <v>0.10206968770643401</v>
      </c>
      <c r="O11">
        <v>0.13174045110257401</v>
      </c>
      <c r="P11">
        <v>0.18897736305941104</v>
      </c>
      <c r="Q11">
        <v>0.25822393185672904</v>
      </c>
      <c r="R11">
        <v>0.35918672872699808</v>
      </c>
      <c r="S11">
        <v>0.58478195432835012</v>
      </c>
      <c r="T11">
        <v>0.59242798218681003</v>
      </c>
      <c r="U11">
        <v>1.14557764947615</v>
      </c>
      <c r="V11">
        <v>1.2234731892628501</v>
      </c>
      <c r="W11">
        <v>1.2038188093468203</v>
      </c>
      <c r="X11">
        <v>1.2651957974802603</v>
      </c>
      <c r="Y11">
        <v>1.2062239591794301</v>
      </c>
      <c r="Z11">
        <v>1.1118142170158403</v>
      </c>
      <c r="AA11">
        <v>1.2323718087158699</v>
      </c>
      <c r="AB11">
        <v>1.2976892412405303</v>
      </c>
      <c r="AC11">
        <v>1.3104239224518903</v>
      </c>
    </row>
    <row r="12" spans="1:29" x14ac:dyDescent="0.3">
      <c r="A12" t="s">
        <v>516</v>
      </c>
      <c r="B12" t="s">
        <v>517</v>
      </c>
      <c r="C12">
        <v>1.2678575546187001E-2</v>
      </c>
      <c r="D12">
        <v>1.2038427303668551E-2</v>
      </c>
      <c r="E12">
        <v>1.1153045113027652E-2</v>
      </c>
      <c r="F12">
        <v>1.3338860938298553E-2</v>
      </c>
      <c r="G12">
        <v>1.3736428291280254E-2</v>
      </c>
      <c r="H12">
        <v>1.3820238846930153E-2</v>
      </c>
      <c r="I12">
        <v>1.6336795393757701E-2</v>
      </c>
      <c r="J12">
        <v>1.6610277891903304E-2</v>
      </c>
      <c r="K12">
        <v>1.8886123738033202E-2</v>
      </c>
      <c r="L12">
        <v>2.0236530558154504E-2</v>
      </c>
      <c r="M12">
        <v>2.9181687268333503E-2</v>
      </c>
      <c r="N12">
        <v>2.8198968272532002E-2</v>
      </c>
      <c r="O12">
        <v>2.6754791053873506E-2</v>
      </c>
      <c r="P12">
        <v>3.6474118957912506E-2</v>
      </c>
      <c r="Q12">
        <v>5.0330043617458506E-2</v>
      </c>
      <c r="R12">
        <v>5.6016287543596506E-2</v>
      </c>
      <c r="S12">
        <v>8.490983525241752E-2</v>
      </c>
      <c r="T12">
        <v>7.6992412548469516E-2</v>
      </c>
      <c r="U12">
        <v>0.12379323585549153</v>
      </c>
      <c r="V12">
        <v>0.13757043861274054</v>
      </c>
      <c r="W12">
        <v>0.14394256342242753</v>
      </c>
      <c r="X12">
        <v>0.14427680531146203</v>
      </c>
      <c r="Y12">
        <v>0.14307379546752003</v>
      </c>
      <c r="Z12">
        <v>0.12779522250734701</v>
      </c>
      <c r="AA12">
        <v>0.14164375339706403</v>
      </c>
      <c r="AB12">
        <v>0.14347305903828603</v>
      </c>
      <c r="AC12">
        <v>0.13400359706170353</v>
      </c>
    </row>
    <row r="13" spans="1:29" x14ac:dyDescent="0.3">
      <c r="A13" t="s">
        <v>519</v>
      </c>
      <c r="B13" t="s">
        <v>520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1.460921932683E-2</v>
      </c>
      <c r="M13">
        <v>2.2363217971175256E-2</v>
      </c>
      <c r="N13">
        <v>3.9208835207459262E-2</v>
      </c>
      <c r="O13">
        <v>4.0550586967604253E-2</v>
      </c>
      <c r="P13">
        <v>0.14523538582341</v>
      </c>
      <c r="Q13">
        <v>0.12720111135520504</v>
      </c>
      <c r="R13">
        <v>0.21751166054007004</v>
      </c>
      <c r="S13">
        <v>0.62634798859644003</v>
      </c>
      <c r="T13">
        <v>0.35098551573990755</v>
      </c>
      <c r="U13">
        <v>0.77630777587676258</v>
      </c>
      <c r="V13">
        <v>0.16151690191450505</v>
      </c>
      <c r="W13">
        <v>4.1864285895162764E-2</v>
      </c>
      <c r="X13">
        <v>4.4172773060449505E-2</v>
      </c>
      <c r="Y13">
        <v>4.4011306175213261E-2</v>
      </c>
      <c r="Z13">
        <v>5.1429431951885263E-2</v>
      </c>
      <c r="AA13">
        <v>4.6741238220753011E-2</v>
      </c>
      <c r="AB13">
        <v>5.218761955508551E-2</v>
      </c>
      <c r="AC13">
        <v>5.0352224926945501E-2</v>
      </c>
    </row>
    <row r="14" spans="1:29" x14ac:dyDescent="0.3">
      <c r="A14" t="s">
        <v>538</v>
      </c>
      <c r="B14" t="s">
        <v>521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1.0419880346542803E-2</v>
      </c>
      <c r="O14">
        <v>1.0989824019655503E-2</v>
      </c>
      <c r="P14">
        <v>1.8958060769193003E-2</v>
      </c>
      <c r="Q14">
        <v>1.5676241796270005E-2</v>
      </c>
      <c r="R14">
        <v>2.5006164489315003E-2</v>
      </c>
      <c r="S14">
        <v>5.4412636858038009E-2</v>
      </c>
      <c r="T14">
        <v>4.8897609444999011E-2</v>
      </c>
      <c r="U14">
        <v>2.5885298219571008E-2</v>
      </c>
      <c r="V14">
        <v>2.2203780748245004E-2</v>
      </c>
      <c r="W14">
        <v>1.7506272316887006E-2</v>
      </c>
      <c r="X14">
        <v>1.4420069297498703E-2</v>
      </c>
      <c r="Y14">
        <v>1.4146470818649903E-2</v>
      </c>
      <c r="Z14">
        <v>1.2808589914474202E-2</v>
      </c>
      <c r="AA14">
        <v>1.4065820737162203E-2</v>
      </c>
      <c r="AB14">
        <v>1.5804835400943001E-2</v>
      </c>
      <c r="AC14">
        <v>1.4877279727101003E-2</v>
      </c>
    </row>
    <row r="15" spans="1:29" x14ac:dyDescent="0.3">
      <c r="A15" t="s">
        <v>539</v>
      </c>
      <c r="B15" t="s">
        <v>522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1.2507714223991551E-2</v>
      </c>
      <c r="K15">
        <v>1.4645753248338002E-2</v>
      </c>
      <c r="L15">
        <v>2.0866849436076751E-2</v>
      </c>
      <c r="M15">
        <v>2.8942477067983505E-2</v>
      </c>
      <c r="N15">
        <v>3.6839675636811002E-2</v>
      </c>
      <c r="O15">
        <v>4.8727987666569009E-2</v>
      </c>
      <c r="P15">
        <v>6.4695051076113008E-2</v>
      </c>
      <c r="Q15">
        <v>8.3849699137230019E-2</v>
      </c>
      <c r="R15">
        <v>0.10619497634337902</v>
      </c>
      <c r="S15">
        <v>0.14457103385789255</v>
      </c>
      <c r="T15">
        <v>0.13446701245892703</v>
      </c>
      <c r="U15">
        <v>0.23054644182096001</v>
      </c>
      <c r="V15">
        <v>0.23457822101595002</v>
      </c>
      <c r="W15">
        <v>0.23667239758810504</v>
      </c>
      <c r="X15">
        <v>0.25687913560312503</v>
      </c>
      <c r="Y15">
        <v>0.24509042200224004</v>
      </c>
      <c r="Z15">
        <v>0.23332128014502002</v>
      </c>
      <c r="AA15">
        <v>0.26018023636795506</v>
      </c>
      <c r="AB15">
        <v>0.26948551316157004</v>
      </c>
      <c r="AC15">
        <v>0.27358470614029506</v>
      </c>
    </row>
    <row r="16" spans="1:29" x14ac:dyDescent="0.3">
      <c r="A16" t="s">
        <v>524</v>
      </c>
      <c r="B16" t="s">
        <v>525</v>
      </c>
      <c r="C16">
        <v>0</v>
      </c>
      <c r="D16">
        <v>1.0281065942400303E-2</v>
      </c>
      <c r="E16">
        <v>0</v>
      </c>
      <c r="F16">
        <v>1.3353481755695701E-2</v>
      </c>
      <c r="G16">
        <v>1.5184628590581003E-2</v>
      </c>
      <c r="H16">
        <v>1.6618295058012003E-2</v>
      </c>
      <c r="I16">
        <v>1.9059543884493005E-2</v>
      </c>
      <c r="J16">
        <v>2.6632213948179002E-2</v>
      </c>
      <c r="K16">
        <v>3.2174351850591004E-2</v>
      </c>
      <c r="L16">
        <v>4.8116479408947005E-2</v>
      </c>
      <c r="M16">
        <v>6.3152942651190008E-2</v>
      </c>
      <c r="N16">
        <v>8.5358753061741025E-2</v>
      </c>
      <c r="O16">
        <v>0.11205113199970501</v>
      </c>
      <c r="P16">
        <v>0.15368168053395004</v>
      </c>
      <c r="Q16">
        <v>0.24810737004423</v>
      </c>
      <c r="R16">
        <v>0.39624082368885016</v>
      </c>
      <c r="S16">
        <v>0.60897262949829001</v>
      </c>
      <c r="T16">
        <v>0.54851188892013014</v>
      </c>
      <c r="U16">
        <v>0.80867690282079008</v>
      </c>
      <c r="V16">
        <v>0.76565096145117018</v>
      </c>
      <c r="W16">
        <v>0.74894684067279016</v>
      </c>
      <c r="X16">
        <v>0.79995225442257012</v>
      </c>
      <c r="Y16">
        <v>0.75757000595571022</v>
      </c>
      <c r="Z16">
        <v>0.70681974975297013</v>
      </c>
      <c r="AA16">
        <v>0.7831379519761501</v>
      </c>
      <c r="AB16">
        <v>0.81343066189320012</v>
      </c>
      <c r="AC16">
        <v>0.82642774944555009</v>
      </c>
    </row>
    <row r="17" spans="1:29" x14ac:dyDescent="0.3">
      <c r="A17" t="s">
        <v>527</v>
      </c>
      <c r="B17" t="s">
        <v>528</v>
      </c>
      <c r="C17">
        <v>1.1816302510658704E-2</v>
      </c>
      <c r="D17">
        <v>0.10958103297330302</v>
      </c>
      <c r="E17">
        <v>0.18729288832131002</v>
      </c>
      <c r="F17">
        <v>0.46851129937035008</v>
      </c>
      <c r="G17">
        <v>0.5872784389647302</v>
      </c>
      <c r="H17">
        <v>0.87236770598307023</v>
      </c>
      <c r="I17">
        <v>1.2432203537414401</v>
      </c>
      <c r="J17">
        <v>1.8921381871806</v>
      </c>
      <c r="K17">
        <v>2.4550505301618002</v>
      </c>
      <c r="L17">
        <v>3.3548578207632009</v>
      </c>
      <c r="M17">
        <v>4.1606627514210004</v>
      </c>
      <c r="N17">
        <v>4.984952106651301</v>
      </c>
      <c r="O17">
        <v>5.6399241327975016</v>
      </c>
      <c r="P17">
        <v>7.0607167421733008</v>
      </c>
      <c r="Q17">
        <v>8.6985527400000002</v>
      </c>
      <c r="R17">
        <v>11.148210167463002</v>
      </c>
      <c r="S17">
        <v>15.568524718173004</v>
      </c>
      <c r="T17">
        <v>11.493629696768402</v>
      </c>
      <c r="U17">
        <v>10.302101942443201</v>
      </c>
      <c r="V17">
        <v>2.1002365638972007</v>
      </c>
      <c r="W17">
        <v>5.6758346580258009E-2</v>
      </c>
      <c r="X17">
        <v>3.7647626210478007E-2</v>
      </c>
      <c r="Y17">
        <v>3.4205608891260009E-2</v>
      </c>
      <c r="Z17">
        <v>3.8400775901883004E-2</v>
      </c>
      <c r="AA17">
        <v>3.4070346396153008E-2</v>
      </c>
      <c r="AB17">
        <v>3.6958120929954E-2</v>
      </c>
      <c r="AC17">
        <v>3.8127496369968011E-2</v>
      </c>
    </row>
    <row r="18" spans="1:29" x14ac:dyDescent="0.3">
      <c r="A18" t="s">
        <v>529</v>
      </c>
      <c r="B18" t="s">
        <v>509</v>
      </c>
      <c r="C18">
        <v>4.1376840745995009</v>
      </c>
      <c r="D18">
        <v>5.0042773913220007</v>
      </c>
      <c r="E18">
        <v>5.4363200083299006</v>
      </c>
      <c r="F18">
        <v>5.6290074491088014</v>
      </c>
      <c r="G18">
        <v>5.4659820731733006</v>
      </c>
      <c r="H18">
        <v>5.2011981277677011</v>
      </c>
      <c r="I18">
        <v>5.119315751308501</v>
      </c>
      <c r="J18">
        <v>5.3266167606906007</v>
      </c>
      <c r="K18">
        <v>5.1274923908841012</v>
      </c>
      <c r="L18">
        <v>5.2898218826004006</v>
      </c>
      <c r="M18">
        <v>5.3610630295410004</v>
      </c>
      <c r="N18">
        <v>5.3346484243872014</v>
      </c>
      <c r="O18">
        <v>5.145425907116401</v>
      </c>
      <c r="P18">
        <v>5.4516004659765009</v>
      </c>
      <c r="Q18">
        <v>5.3861583541959011</v>
      </c>
      <c r="R18">
        <v>5.610407043833102</v>
      </c>
      <c r="S18">
        <v>6.4910195280549017</v>
      </c>
      <c r="T18">
        <v>4.1127482234115016</v>
      </c>
      <c r="U18">
        <v>4.5216961828947007</v>
      </c>
      <c r="V18">
        <v>8.8222026671991003</v>
      </c>
      <c r="W18">
        <v>8.7218938565190012</v>
      </c>
      <c r="X18">
        <v>8.6836637172267022</v>
      </c>
      <c r="Y18">
        <v>8.4638367918990021</v>
      </c>
      <c r="Z18">
        <v>7.4664172419669015</v>
      </c>
      <c r="AA18">
        <v>8.2556369320671017</v>
      </c>
      <c r="AB18">
        <v>8.3501612051751</v>
      </c>
      <c r="AC18">
        <v>7.2569850871635024</v>
      </c>
    </row>
    <row r="19" spans="1:29" x14ac:dyDescent="0.3">
      <c r="A19" t="s">
        <v>531</v>
      </c>
      <c r="C19">
        <v>4.8325293000000009</v>
      </c>
      <c r="D19">
        <v>4.8325293000000009</v>
      </c>
      <c r="E19">
        <v>4.8325293000000009</v>
      </c>
      <c r="F19">
        <v>4.8325293000000009</v>
      </c>
      <c r="G19">
        <v>4.8325293000000009</v>
      </c>
      <c r="H19">
        <v>4.8325293000000009</v>
      </c>
      <c r="I19">
        <v>4.8325293000000009</v>
      </c>
      <c r="J19">
        <v>4.8325293000000009</v>
      </c>
      <c r="K19">
        <v>4.8325293000000009</v>
      </c>
      <c r="L19">
        <v>4.8325293000000009</v>
      </c>
      <c r="M19">
        <v>4.8325293000000009</v>
      </c>
      <c r="N19">
        <v>4.8325293000000009</v>
      </c>
      <c r="O19">
        <v>4.8325293000000009</v>
      </c>
      <c r="P19">
        <v>4.8325293000000009</v>
      </c>
      <c r="Q19">
        <v>4.8325293000000009</v>
      </c>
      <c r="R19">
        <v>4.8325293000000009</v>
      </c>
      <c r="S19">
        <v>4.8325293000000009</v>
      </c>
      <c r="T19">
        <v>4.8325293000000009</v>
      </c>
      <c r="U19">
        <v>4.8325293000000009</v>
      </c>
      <c r="V19">
        <v>4.8325293000000009</v>
      </c>
      <c r="W19">
        <v>4.8325293000000009</v>
      </c>
      <c r="X19">
        <v>4.8325293000000009</v>
      </c>
      <c r="Y19">
        <v>4.8325293000000009</v>
      </c>
      <c r="Z19">
        <v>4.8325293000000009</v>
      </c>
      <c r="AA19">
        <v>4.8325293000000009</v>
      </c>
      <c r="AB19">
        <v>4.8325293000000009</v>
      </c>
      <c r="AC19">
        <v>4.8325293000000009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Protocol</vt:lpstr>
      <vt:lpstr>SamplingAndAdditions</vt:lpstr>
      <vt:lpstr>FermentorMeasurements</vt:lpstr>
      <vt:lpstr>OffgasAnalysis</vt:lpstr>
      <vt:lpstr>MediumAnalysis</vt:lpstr>
      <vt:lpstr>Medium_integrals</vt:lpstr>
      <vt:lpstr>Medium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Schuly</dc:creator>
  <cp:lastModifiedBy>Dylan Smith</cp:lastModifiedBy>
  <dcterms:created xsi:type="dcterms:W3CDTF">2021-09-02T14:22:29Z</dcterms:created>
  <dcterms:modified xsi:type="dcterms:W3CDTF">2025-12-01T16:53:40Z</dcterms:modified>
</cp:coreProperties>
</file>