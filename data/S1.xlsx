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emilk_ntnu_no/Documents/WorkingFolder/gitFolder/decFBA/Fermentations/"/>
    </mc:Choice>
  </mc:AlternateContent>
  <xr:revisionPtr revIDLastSave="39" documentId="13_ncr:1_{882A4C15-3C79-4A41-9CFB-2C1B4F7B14CB}" xr6:coauthVersionLast="47" xr6:coauthVersionMax="47" xr10:uidLastSave="{1F95DC7A-9F89-40B9-BEDC-DFD893C4F54F}"/>
  <bookViews>
    <workbookView xWindow="-18120" yWindow="-5070" windowWidth="17310" windowHeight="290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1" l="1"/>
  <c r="F38" i="1"/>
  <c r="F18" i="1"/>
  <c r="F61" i="1"/>
  <c r="F60" i="1"/>
  <c r="F41" i="1"/>
  <c r="F40" i="1"/>
  <c r="C49" i="1"/>
  <c r="F55" i="1" s="1"/>
  <c r="C48" i="1"/>
  <c r="F48" i="1" s="1"/>
  <c r="C46" i="1"/>
  <c r="F46" i="1" s="1"/>
  <c r="C47" i="1"/>
  <c r="F47" i="1" s="1"/>
  <c r="C45" i="1"/>
  <c r="F45" i="1" s="1"/>
  <c r="C43" i="1"/>
  <c r="F43" i="1" s="1"/>
  <c r="F44" i="1" l="1"/>
  <c r="F57" i="1"/>
  <c r="F59" i="1"/>
  <c r="F52" i="1"/>
  <c r="F49" i="1"/>
  <c r="F53" i="1"/>
  <c r="F50" i="1"/>
  <c r="F54" i="1"/>
  <c r="F51" i="1"/>
  <c r="F56" i="1" l="1"/>
  <c r="C27" i="1"/>
  <c r="F27" i="1" s="1"/>
  <c r="C29" i="1"/>
  <c r="F34" i="1" s="1"/>
  <c r="C28" i="1"/>
  <c r="F28" i="1" s="1"/>
  <c r="C26" i="1"/>
  <c r="F26" i="1" s="1"/>
  <c r="C25" i="1"/>
  <c r="F25" i="1" s="1"/>
  <c r="C23" i="1"/>
  <c r="F23" i="1" s="1"/>
  <c r="F5" i="1"/>
  <c r="F4" i="1"/>
  <c r="F20" i="1" s="1"/>
  <c r="F3" i="1"/>
  <c r="F21" i="1" s="1"/>
  <c r="F15" i="1"/>
  <c r="F14" i="1"/>
  <c r="F13" i="1"/>
  <c r="F12" i="1"/>
  <c r="F11" i="1"/>
  <c r="F10" i="1"/>
  <c r="F9" i="1"/>
  <c r="F6" i="1"/>
  <c r="F7" i="1"/>
  <c r="F8" i="1"/>
  <c r="F35" i="1" l="1"/>
  <c r="F24" i="1"/>
  <c r="F31" i="1"/>
  <c r="F32" i="1"/>
  <c r="F29" i="1"/>
  <c r="F33" i="1"/>
  <c r="F30" i="1"/>
  <c r="F37" i="1"/>
  <c r="F39" i="1"/>
  <c r="F17" i="1"/>
  <c r="F16" i="1"/>
  <c r="F19" i="1"/>
  <c r="F36" i="1" l="1"/>
</calcChain>
</file>

<file path=xl/sharedStrings.xml><?xml version="1.0" encoding="utf-8"?>
<sst xmlns="http://schemas.openxmlformats.org/spreadsheetml/2006/main" count="84" uniqueCount="34">
  <si>
    <t>M9 salt sol</t>
  </si>
  <si>
    <t>mM in final</t>
  </si>
  <si>
    <t>NaCl </t>
  </si>
  <si>
    <t>Na2HPO4 </t>
  </si>
  <si>
    <t>KH2PO4 </t>
  </si>
  <si>
    <t>Glucose</t>
  </si>
  <si>
    <t>Base M9</t>
  </si>
  <si>
    <t>TMS</t>
  </si>
  <si>
    <t>Componet</t>
  </si>
  <si>
    <t>Compound</t>
  </si>
  <si>
    <t>mM in component</t>
  </si>
  <si>
    <t>Amount of component (L)</t>
  </si>
  <si>
    <r>
      <rPr>
        <b/>
        <u/>
        <sz val="11"/>
        <color theme="1"/>
        <rFont val="Calibri"/>
        <family val="2"/>
        <scheme val="minor"/>
      </rPr>
      <t>Fe</t>
    </r>
    <r>
      <rPr>
        <sz val="11"/>
        <color theme="1"/>
        <rFont val="Calibri"/>
        <family val="2"/>
        <scheme val="minor"/>
      </rPr>
      <t>SO4*7H2O </t>
    </r>
  </si>
  <si>
    <r>
      <rPr>
        <b/>
        <u/>
        <sz val="11"/>
        <color theme="1"/>
        <rFont val="Calibri"/>
        <family val="2"/>
        <scheme val="minor"/>
      </rPr>
      <t>Cu</t>
    </r>
    <r>
      <rPr>
        <sz val="11"/>
        <color theme="1"/>
        <rFont val="Calibri"/>
        <family val="2"/>
        <scheme val="minor"/>
      </rPr>
      <t>SO4*5H2O </t>
    </r>
  </si>
  <si>
    <r>
      <rPr>
        <b/>
        <u/>
        <sz val="11"/>
        <color theme="1"/>
        <rFont val="Calibri"/>
        <family val="2"/>
        <scheme val="minor"/>
      </rPr>
      <t>Zn</t>
    </r>
    <r>
      <rPr>
        <sz val="11"/>
        <color theme="1"/>
        <rFont val="Calibri"/>
        <family val="2"/>
        <scheme val="minor"/>
      </rPr>
      <t>SO4*7H2O </t>
    </r>
  </si>
  <si>
    <r>
      <rPr>
        <b/>
        <u/>
        <sz val="11"/>
        <color theme="1"/>
        <rFont val="Calibri"/>
        <family val="2"/>
        <scheme val="minor"/>
      </rPr>
      <t>Mn</t>
    </r>
    <r>
      <rPr>
        <sz val="11"/>
        <color theme="1"/>
        <rFont val="Calibri"/>
        <family val="2"/>
        <scheme val="minor"/>
      </rPr>
      <t>SO4*H2O </t>
    </r>
  </si>
  <si>
    <r>
      <t>Na2</t>
    </r>
    <r>
      <rPr>
        <b/>
        <u/>
        <sz val="11"/>
        <color theme="1"/>
        <rFont val="Calibri"/>
        <family val="2"/>
        <scheme val="minor"/>
      </rPr>
      <t>Mo</t>
    </r>
    <r>
      <rPr>
        <sz val="11"/>
        <color theme="1"/>
        <rFont val="Calibri"/>
        <family val="2"/>
        <scheme val="minor"/>
      </rPr>
      <t>O4*2H2O </t>
    </r>
  </si>
  <si>
    <r>
      <rPr>
        <b/>
        <u/>
        <sz val="11"/>
        <color theme="1"/>
        <rFont val="Calibri"/>
        <family val="2"/>
        <scheme val="minor"/>
      </rPr>
      <t>Co</t>
    </r>
    <r>
      <rPr>
        <sz val="11"/>
        <color theme="1"/>
        <rFont val="Calibri"/>
        <family val="2"/>
        <scheme val="minor"/>
      </rPr>
      <t>SO4*7H2O </t>
    </r>
  </si>
  <si>
    <r>
      <rPr>
        <b/>
        <u/>
        <sz val="11"/>
        <color theme="1"/>
        <rFont val="Calibri"/>
        <family val="2"/>
        <scheme val="minor"/>
      </rPr>
      <t>Ca</t>
    </r>
    <r>
      <rPr>
        <sz val="11"/>
        <color theme="1"/>
        <rFont val="Calibri"/>
        <family val="2"/>
        <scheme val="minor"/>
      </rPr>
      <t>Cl2*2H2O </t>
    </r>
  </si>
  <si>
    <t>SO4</t>
  </si>
  <si>
    <t>Cl</t>
  </si>
  <si>
    <t>Na</t>
  </si>
  <si>
    <t>Ions</t>
  </si>
  <si>
    <r>
      <rPr>
        <b/>
        <u/>
        <sz val="11"/>
        <color theme="1"/>
        <rFont val="Calibri"/>
        <family val="2"/>
        <scheme val="minor"/>
      </rPr>
      <t>Mg</t>
    </r>
    <r>
      <rPr>
        <sz val="11"/>
        <color theme="1"/>
        <rFont val="Calibri"/>
        <family val="2"/>
        <scheme val="minor"/>
      </rPr>
      <t>SO4</t>
    </r>
  </si>
  <si>
    <t>Mg</t>
  </si>
  <si>
    <t>PO4</t>
  </si>
  <si>
    <r>
      <rPr>
        <b/>
        <u/>
        <sz val="11"/>
        <color theme="1"/>
        <rFont val="Calibri"/>
        <family val="2"/>
        <scheme val="minor"/>
      </rPr>
      <t>NH4</t>
    </r>
    <r>
      <rPr>
        <sz val="11"/>
        <color theme="1"/>
        <rFont val="Calibri"/>
        <family val="2"/>
        <scheme val="minor"/>
      </rPr>
      <t>Cl </t>
    </r>
  </si>
  <si>
    <t>M9 supp1</t>
  </si>
  <si>
    <t>PO4-buffer</t>
  </si>
  <si>
    <t>NaCl</t>
  </si>
  <si>
    <t>NH4Cl</t>
  </si>
  <si>
    <t>M9 supp2</t>
  </si>
  <si>
    <t>K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</si>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</sst>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5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6" xfId="0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7" xfId="0" applyFill="1" applyBorder="1"/>
    <xf numFmtId="0" fontId="0" fillId="0" borderId="14" xfId="0" applyFill="1" applyBorder="1"/>
    <xf numFmtId="0" fontId="1" fillId="0" borderId="15" xfId="0" applyFont="1" applyFill="1" applyBorder="1"/>
    <xf numFmtId="0" fontId="0" fillId="0" borderId="18" xfId="0" applyFill="1" applyBorder="1"/>
    <xf numFmtId="0" fontId="1" fillId="0" borderId="0" xfId="0" applyFont="1" applyFill="1" applyBorder="1"/>
    <xf numFmtId="0" fontId="0" fillId="0" borderId="6" xfId="0" applyFill="1" applyBorder="1"/>
    <xf numFmtId="0" fontId="0" fillId="0" borderId="7" xfId="0" applyFill="1" applyBorder="1"/>
    <xf numFmtId="0" fontId="1" fillId="0" borderId="7" xfId="0" applyFont="1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4" workbookViewId="0">
      <selection activeCell="H48" sqref="H48"/>
    </sheetView>
  </sheetViews>
  <sheetFormatPr defaultRowHeight="15" x14ac:dyDescent="0.25"/>
  <cols>
    <col min="2" max="2" width="12.42578125" customWidth="1"/>
    <col min="3" max="3" width="27.28515625" customWidth="1"/>
    <col min="4" max="4" width="21.5703125" customWidth="1"/>
    <col min="5" max="5" width="25.140625" customWidth="1"/>
    <col min="6" max="6" width="24.28515625" customWidth="1"/>
  </cols>
  <sheetData>
    <row r="1" spans="1:6" ht="15.75" thickBot="1" x14ac:dyDescent="0.3">
      <c r="B1" t="s">
        <v>8</v>
      </c>
      <c r="C1" t="s">
        <v>11</v>
      </c>
      <c r="D1" t="s">
        <v>9</v>
      </c>
      <c r="E1" t="s">
        <v>10</v>
      </c>
      <c r="F1" t="s">
        <v>1</v>
      </c>
    </row>
    <row r="2" spans="1:6" x14ac:dyDescent="0.25">
      <c r="A2" s="2" t="s">
        <v>6</v>
      </c>
      <c r="B2" s="3"/>
      <c r="C2" s="3"/>
      <c r="D2" s="3"/>
      <c r="E2" s="3"/>
      <c r="F2" s="4"/>
    </row>
    <row r="3" spans="1:6" x14ac:dyDescent="0.25">
      <c r="A3" s="5"/>
      <c r="B3" s="6" t="s">
        <v>0</v>
      </c>
      <c r="C3" s="7">
        <v>0.1</v>
      </c>
      <c r="D3" s="7" t="s">
        <v>3</v>
      </c>
      <c r="E3" s="7">
        <v>337</v>
      </c>
      <c r="F3" s="8">
        <f>E3*C3</f>
        <v>33.700000000000003</v>
      </c>
    </row>
    <row r="4" spans="1:6" x14ac:dyDescent="0.25">
      <c r="A4" s="5"/>
      <c r="B4" s="9"/>
      <c r="C4" s="10"/>
      <c r="D4" s="10" t="s">
        <v>4</v>
      </c>
      <c r="E4" s="10">
        <v>220</v>
      </c>
      <c r="F4" s="11">
        <f>E4*C3</f>
        <v>22</v>
      </c>
    </row>
    <row r="5" spans="1:6" x14ac:dyDescent="0.25">
      <c r="A5" s="5"/>
      <c r="B5" s="9"/>
      <c r="C5" s="10"/>
      <c r="D5" s="10" t="s">
        <v>2</v>
      </c>
      <c r="E5" s="10">
        <v>85.5</v>
      </c>
      <c r="F5" s="11">
        <f>E5*C3</f>
        <v>8.5500000000000007</v>
      </c>
    </row>
    <row r="6" spans="1:6" x14ac:dyDescent="0.25">
      <c r="A6" s="5"/>
      <c r="B6" s="12"/>
      <c r="C6" s="13"/>
      <c r="D6" s="13" t="s">
        <v>26</v>
      </c>
      <c r="E6" s="13">
        <v>187</v>
      </c>
      <c r="F6" s="14">
        <f>E6*C3</f>
        <v>18.7</v>
      </c>
    </row>
    <row r="7" spans="1:6" x14ac:dyDescent="0.25">
      <c r="A7" s="5"/>
      <c r="B7" s="15" t="s">
        <v>5</v>
      </c>
      <c r="C7" s="1">
        <v>0.02</v>
      </c>
      <c r="D7" s="16" t="s">
        <v>5</v>
      </c>
      <c r="E7" s="1">
        <v>1111.1111000000001</v>
      </c>
      <c r="F7" s="17">
        <f>E7*C7</f>
        <v>22.222222000000002</v>
      </c>
    </row>
    <row r="8" spans="1:6" x14ac:dyDescent="0.25">
      <c r="A8" s="5"/>
      <c r="B8" s="15" t="s">
        <v>24</v>
      </c>
      <c r="C8" s="1">
        <v>1E-3</v>
      </c>
      <c r="D8" s="1" t="s">
        <v>23</v>
      </c>
      <c r="E8" s="1">
        <v>1000</v>
      </c>
      <c r="F8" s="17">
        <f>E8*C8</f>
        <v>1</v>
      </c>
    </row>
    <row r="9" spans="1:6" x14ac:dyDescent="0.25">
      <c r="A9" s="5"/>
      <c r="B9" s="6" t="s">
        <v>7</v>
      </c>
      <c r="C9" s="7">
        <v>2E-3</v>
      </c>
      <c r="D9" s="7" t="s">
        <v>12</v>
      </c>
      <c r="E9" s="7">
        <v>35.97</v>
      </c>
      <c r="F9" s="8">
        <f>E9*C9</f>
        <v>7.1940000000000004E-2</v>
      </c>
    </row>
    <row r="10" spans="1:6" x14ac:dyDescent="0.25">
      <c r="A10" s="5"/>
      <c r="B10" s="9"/>
      <c r="C10" s="10"/>
      <c r="D10" s="10" t="s">
        <v>13</v>
      </c>
      <c r="E10" s="10">
        <v>6.02</v>
      </c>
      <c r="F10" s="11">
        <f>E10*C9</f>
        <v>1.2039999999999999E-2</v>
      </c>
    </row>
    <row r="11" spans="1:6" x14ac:dyDescent="0.25">
      <c r="A11" s="5"/>
      <c r="B11" s="9"/>
      <c r="C11" s="10"/>
      <c r="D11" s="10" t="s">
        <v>14</v>
      </c>
      <c r="E11" s="10">
        <v>3.48</v>
      </c>
      <c r="F11" s="11">
        <f>E11*C9</f>
        <v>6.96E-3</v>
      </c>
    </row>
    <row r="12" spans="1:6" x14ac:dyDescent="0.25">
      <c r="A12" s="5"/>
      <c r="B12" s="9"/>
      <c r="C12" s="10"/>
      <c r="D12" s="10" t="s">
        <v>15</v>
      </c>
      <c r="E12" s="10">
        <v>1.18</v>
      </c>
      <c r="F12" s="11">
        <f>E12*C9</f>
        <v>2.3600000000000001E-3</v>
      </c>
    </row>
    <row r="13" spans="1:6" x14ac:dyDescent="0.25">
      <c r="A13" s="5"/>
      <c r="B13" s="9"/>
      <c r="C13" s="10"/>
      <c r="D13" s="10" t="s">
        <v>16</v>
      </c>
      <c r="E13" s="10">
        <v>0.04</v>
      </c>
      <c r="F13" s="11">
        <f>E13*C9</f>
        <v>8.0000000000000007E-5</v>
      </c>
    </row>
    <row r="14" spans="1:6" x14ac:dyDescent="0.25">
      <c r="A14" s="5"/>
      <c r="B14" s="9"/>
      <c r="C14" s="10"/>
      <c r="D14" s="10" t="s">
        <v>17</v>
      </c>
      <c r="E14" s="10">
        <v>0.18</v>
      </c>
      <c r="F14" s="11">
        <f>E14*C9</f>
        <v>3.5999999999999997E-4</v>
      </c>
    </row>
    <row r="15" spans="1:6" x14ac:dyDescent="0.25">
      <c r="A15" s="5"/>
      <c r="B15" s="12"/>
      <c r="C15" s="13"/>
      <c r="D15" s="13" t="s">
        <v>18</v>
      </c>
      <c r="E15" s="13">
        <v>3.4</v>
      </c>
      <c r="F15" s="14">
        <f>E15*C9</f>
        <v>6.7999999999999996E-3</v>
      </c>
    </row>
    <row r="16" spans="1:6" x14ac:dyDescent="0.25">
      <c r="A16" s="5"/>
      <c r="B16" s="10" t="s">
        <v>22</v>
      </c>
      <c r="C16" s="10"/>
      <c r="D16" s="18" t="s">
        <v>19</v>
      </c>
      <c r="E16" s="10"/>
      <c r="F16" s="11">
        <f>F9+F10+F11+F12+F14+F8</f>
        <v>1.0936600000000001</v>
      </c>
    </row>
    <row r="17" spans="1:6" x14ac:dyDescent="0.25">
      <c r="A17" s="5"/>
      <c r="B17" s="10"/>
      <c r="C17" s="10"/>
      <c r="D17" s="18" t="s">
        <v>20</v>
      </c>
      <c r="E17" s="10"/>
      <c r="F17" s="11">
        <f>F5+F6+2*F15</f>
        <v>27.2636</v>
      </c>
    </row>
    <row r="18" spans="1:6" x14ac:dyDescent="0.25">
      <c r="A18" s="5"/>
      <c r="B18" s="10"/>
      <c r="C18" s="10"/>
      <c r="D18" s="18" t="s">
        <v>21</v>
      </c>
      <c r="E18" s="10"/>
      <c r="F18" s="11">
        <f>2*F3+F5+2*F13</f>
        <v>75.950159999999997</v>
      </c>
    </row>
    <row r="19" spans="1:6" x14ac:dyDescent="0.25">
      <c r="A19" s="5"/>
      <c r="B19" s="10"/>
      <c r="C19" s="10"/>
      <c r="D19" s="18" t="s">
        <v>25</v>
      </c>
      <c r="E19" s="10"/>
      <c r="F19" s="11">
        <f>F3+F4</f>
        <v>55.7</v>
      </c>
    </row>
    <row r="20" spans="1:6" x14ac:dyDescent="0.25">
      <c r="A20" s="5"/>
      <c r="B20" s="10"/>
      <c r="C20" s="10"/>
      <c r="D20" s="18" t="s">
        <v>32</v>
      </c>
      <c r="E20" s="10"/>
      <c r="F20" s="11">
        <f>F4</f>
        <v>22</v>
      </c>
    </row>
    <row r="21" spans="1:6" ht="15.75" thickBot="1" x14ac:dyDescent="0.3">
      <c r="A21" s="19"/>
      <c r="B21" s="20"/>
      <c r="C21" s="20"/>
      <c r="D21" s="21" t="s">
        <v>33</v>
      </c>
      <c r="E21" s="20"/>
      <c r="F21" s="22">
        <f>F3+2*F4</f>
        <v>77.7</v>
      </c>
    </row>
    <row r="22" spans="1:6" x14ac:dyDescent="0.25">
      <c r="A22" s="2" t="s">
        <v>27</v>
      </c>
      <c r="B22" s="3"/>
      <c r="C22" s="3"/>
      <c r="D22" s="3"/>
      <c r="E22" s="3"/>
      <c r="F22" s="4"/>
    </row>
    <row r="23" spans="1:6" x14ac:dyDescent="0.25">
      <c r="A23" s="5"/>
      <c r="B23" s="6" t="s">
        <v>28</v>
      </c>
      <c r="C23" s="7">
        <f>0.15/1.5</f>
        <v>9.9999999999999992E-2</v>
      </c>
      <c r="D23" s="7" t="s">
        <v>3</v>
      </c>
      <c r="E23" s="7">
        <v>337</v>
      </c>
      <c r="F23" s="8">
        <f>E23*C23</f>
        <v>33.699999999999996</v>
      </c>
    </row>
    <row r="24" spans="1:6" x14ac:dyDescent="0.25">
      <c r="A24" s="5"/>
      <c r="B24" s="12"/>
      <c r="C24" s="13"/>
      <c r="D24" s="13" t="s">
        <v>4</v>
      </c>
      <c r="E24" s="13">
        <v>220</v>
      </c>
      <c r="F24" s="14">
        <f>E24*C23</f>
        <v>21.999999999999996</v>
      </c>
    </row>
    <row r="25" spans="1:6" x14ac:dyDescent="0.25">
      <c r="A25" s="5"/>
      <c r="B25" s="15" t="s">
        <v>29</v>
      </c>
      <c r="C25" s="1">
        <f>0.015/1.5</f>
        <v>0.01</v>
      </c>
      <c r="D25" s="1" t="s">
        <v>2</v>
      </c>
      <c r="E25" s="1">
        <v>855.5</v>
      </c>
      <c r="F25" s="17">
        <f>E25*C25</f>
        <v>8.5549999999999997</v>
      </c>
    </row>
    <row r="26" spans="1:6" x14ac:dyDescent="0.25">
      <c r="A26" s="5"/>
      <c r="B26" s="15" t="s">
        <v>30</v>
      </c>
      <c r="C26" s="1">
        <f>0.06/1.5</f>
        <v>0.04</v>
      </c>
      <c r="D26" s="1" t="s">
        <v>26</v>
      </c>
      <c r="E26" s="1">
        <v>934.6</v>
      </c>
      <c r="F26" s="17">
        <f>E26*C26</f>
        <v>37.384</v>
      </c>
    </row>
    <row r="27" spans="1:6" x14ac:dyDescent="0.25">
      <c r="A27" s="5"/>
      <c r="B27" s="15" t="s">
        <v>5</v>
      </c>
      <c r="C27" s="1">
        <f>0.075/1.5</f>
        <v>4.9999999999999996E-2</v>
      </c>
      <c r="D27" s="16" t="s">
        <v>5</v>
      </c>
      <c r="E27" s="1">
        <v>2222.2222000000002</v>
      </c>
      <c r="F27" s="17">
        <f>E27*C27</f>
        <v>111.11111</v>
      </c>
    </row>
    <row r="28" spans="1:6" x14ac:dyDescent="0.25">
      <c r="A28" s="5"/>
      <c r="B28" s="15" t="s">
        <v>24</v>
      </c>
      <c r="C28" s="1">
        <f>0.005/1.5</f>
        <v>3.3333333333333335E-3</v>
      </c>
      <c r="D28" s="1" t="s">
        <v>23</v>
      </c>
      <c r="E28" s="1">
        <v>1000</v>
      </c>
      <c r="F28" s="17">
        <f>E28*C28</f>
        <v>3.3333333333333335</v>
      </c>
    </row>
    <row r="29" spans="1:6" x14ac:dyDescent="0.25">
      <c r="A29" s="5"/>
      <c r="B29" s="6" t="s">
        <v>7</v>
      </c>
      <c r="C29" s="7">
        <f>0.003/1.5</f>
        <v>2E-3</v>
      </c>
      <c r="D29" s="7" t="s">
        <v>12</v>
      </c>
      <c r="E29" s="7">
        <v>35.97</v>
      </c>
      <c r="F29" s="8">
        <f>E29*C29</f>
        <v>7.1940000000000004E-2</v>
      </c>
    </row>
    <row r="30" spans="1:6" x14ac:dyDescent="0.25">
      <c r="A30" s="5"/>
      <c r="B30" s="9"/>
      <c r="C30" s="10"/>
      <c r="D30" s="10" t="s">
        <v>13</v>
      </c>
      <c r="E30" s="10">
        <v>6.02</v>
      </c>
      <c r="F30" s="11">
        <f>E30*C29</f>
        <v>1.2039999999999999E-2</v>
      </c>
    </row>
    <row r="31" spans="1:6" x14ac:dyDescent="0.25">
      <c r="A31" s="5"/>
      <c r="B31" s="9"/>
      <c r="C31" s="10"/>
      <c r="D31" s="10" t="s">
        <v>14</v>
      </c>
      <c r="E31" s="10">
        <v>3.48</v>
      </c>
      <c r="F31" s="11">
        <f>E31*C29</f>
        <v>6.96E-3</v>
      </c>
    </row>
    <row r="32" spans="1:6" x14ac:dyDescent="0.25">
      <c r="A32" s="5"/>
      <c r="B32" s="9"/>
      <c r="C32" s="10"/>
      <c r="D32" s="10" t="s">
        <v>15</v>
      </c>
      <c r="E32" s="10">
        <v>1.18</v>
      </c>
      <c r="F32" s="11">
        <f>E32*C29</f>
        <v>2.3600000000000001E-3</v>
      </c>
    </row>
    <row r="33" spans="1:6" x14ac:dyDescent="0.25">
      <c r="A33" s="5"/>
      <c r="B33" s="9"/>
      <c r="C33" s="10"/>
      <c r="D33" s="10" t="s">
        <v>16</v>
      </c>
      <c r="E33" s="10">
        <v>0.04</v>
      </c>
      <c r="F33" s="11">
        <f>E33*C29</f>
        <v>8.0000000000000007E-5</v>
      </c>
    </row>
    <row r="34" spans="1:6" x14ac:dyDescent="0.25">
      <c r="A34" s="5"/>
      <c r="B34" s="9"/>
      <c r="C34" s="10"/>
      <c r="D34" s="10" t="s">
        <v>17</v>
      </c>
      <c r="E34" s="10">
        <v>0.18</v>
      </c>
      <c r="F34" s="11">
        <f>E34*C29</f>
        <v>3.5999999999999997E-4</v>
      </c>
    </row>
    <row r="35" spans="1:6" x14ac:dyDescent="0.25">
      <c r="A35" s="5"/>
      <c r="B35" s="12"/>
      <c r="C35" s="13"/>
      <c r="D35" s="13" t="s">
        <v>18</v>
      </c>
      <c r="E35" s="13">
        <v>3.4</v>
      </c>
      <c r="F35" s="14">
        <f>E35*C29</f>
        <v>6.7999999999999996E-3</v>
      </c>
    </row>
    <row r="36" spans="1:6" x14ac:dyDescent="0.25">
      <c r="A36" s="5"/>
      <c r="B36" s="10" t="s">
        <v>22</v>
      </c>
      <c r="C36" s="10"/>
      <c r="D36" s="18" t="s">
        <v>19</v>
      </c>
      <c r="E36" s="10"/>
      <c r="F36" s="11">
        <f>F29+F30+F31+F32+F34+F28</f>
        <v>3.4269933333333333</v>
      </c>
    </row>
    <row r="37" spans="1:6" x14ac:dyDescent="0.25">
      <c r="A37" s="5"/>
      <c r="B37" s="10"/>
      <c r="C37" s="10"/>
      <c r="D37" s="18" t="s">
        <v>20</v>
      </c>
      <c r="E37" s="10"/>
      <c r="F37" s="11">
        <f>F25+F26+2*F35</f>
        <v>45.952599999999997</v>
      </c>
    </row>
    <row r="38" spans="1:6" x14ac:dyDescent="0.25">
      <c r="A38" s="5"/>
      <c r="B38" s="10"/>
      <c r="C38" s="10"/>
      <c r="D38" s="18" t="s">
        <v>21</v>
      </c>
      <c r="E38" s="10"/>
      <c r="F38" s="11">
        <f>2*F23+F25+2*F33</f>
        <v>75.955159999999978</v>
      </c>
    </row>
    <row r="39" spans="1:6" x14ac:dyDescent="0.25">
      <c r="A39" s="5"/>
      <c r="B39" s="10"/>
      <c r="C39" s="10"/>
      <c r="D39" s="18" t="s">
        <v>25</v>
      </c>
      <c r="E39" s="10"/>
      <c r="F39" s="11">
        <f>F23+F24</f>
        <v>55.699999999999989</v>
      </c>
    </row>
    <row r="40" spans="1:6" x14ac:dyDescent="0.25">
      <c r="A40" s="5"/>
      <c r="B40" s="10"/>
      <c r="C40" s="10"/>
      <c r="D40" s="18" t="s">
        <v>32</v>
      </c>
      <c r="E40" s="10"/>
      <c r="F40" s="11">
        <f>F24</f>
        <v>21.999999999999996</v>
      </c>
    </row>
    <row r="41" spans="1:6" ht="15.75" thickBot="1" x14ac:dyDescent="0.3">
      <c r="A41" s="19"/>
      <c r="B41" s="20"/>
      <c r="C41" s="20"/>
      <c r="D41" s="21" t="s">
        <v>33</v>
      </c>
      <c r="E41" s="20"/>
      <c r="F41" s="22">
        <f>F23+2*F24</f>
        <v>77.699999999999989</v>
      </c>
    </row>
    <row r="42" spans="1:6" x14ac:dyDescent="0.25">
      <c r="A42" s="2" t="s">
        <v>31</v>
      </c>
      <c r="B42" s="3"/>
      <c r="C42" s="3"/>
      <c r="D42" s="3"/>
      <c r="E42" s="3"/>
      <c r="F42" s="4"/>
    </row>
    <row r="43" spans="1:6" x14ac:dyDescent="0.25">
      <c r="A43" s="5"/>
      <c r="B43" s="6" t="s">
        <v>28</v>
      </c>
      <c r="C43" s="7">
        <f>0.15/1.5</f>
        <v>9.9999999999999992E-2</v>
      </c>
      <c r="D43" s="7" t="s">
        <v>3</v>
      </c>
      <c r="E43" s="7">
        <v>337</v>
      </c>
      <c r="F43" s="8">
        <f>E43*C43</f>
        <v>33.699999999999996</v>
      </c>
    </row>
    <row r="44" spans="1:6" x14ac:dyDescent="0.25">
      <c r="A44" s="5"/>
      <c r="B44" s="12"/>
      <c r="C44" s="13"/>
      <c r="D44" s="13" t="s">
        <v>4</v>
      </c>
      <c r="E44" s="13">
        <v>220</v>
      </c>
      <c r="F44" s="14">
        <f>E44*C43</f>
        <v>21.999999999999996</v>
      </c>
    </row>
    <row r="45" spans="1:6" x14ac:dyDescent="0.25">
      <c r="A45" s="5"/>
      <c r="B45" s="15" t="s">
        <v>29</v>
      </c>
      <c r="C45" s="1">
        <f>0.015/1.5</f>
        <v>0.01</v>
      </c>
      <c r="D45" s="1" t="s">
        <v>2</v>
      </c>
      <c r="E45" s="1">
        <v>855.5</v>
      </c>
      <c r="F45" s="17">
        <f>E45*C45</f>
        <v>8.5549999999999997</v>
      </c>
    </row>
    <row r="46" spans="1:6" x14ac:dyDescent="0.25">
      <c r="A46" s="5"/>
      <c r="B46" s="15" t="s">
        <v>30</v>
      </c>
      <c r="C46" s="1">
        <f>0.18/1.5</f>
        <v>0.12</v>
      </c>
      <c r="D46" s="1" t="s">
        <v>26</v>
      </c>
      <c r="E46" s="1">
        <v>934.6</v>
      </c>
      <c r="F46" s="17">
        <f>E46*C46</f>
        <v>112.152</v>
      </c>
    </row>
    <row r="47" spans="1:6" x14ac:dyDescent="0.25">
      <c r="A47" s="5"/>
      <c r="B47" s="15" t="s">
        <v>5</v>
      </c>
      <c r="C47" s="1">
        <f>0.075/1.5</f>
        <v>4.9999999999999996E-2</v>
      </c>
      <c r="D47" s="16" t="s">
        <v>5</v>
      </c>
      <c r="E47" s="1">
        <v>2222.2222000000002</v>
      </c>
      <c r="F47" s="17">
        <f>E47*C47</f>
        <v>111.11111</v>
      </c>
    </row>
    <row r="48" spans="1:6" x14ac:dyDescent="0.25">
      <c r="A48" s="5"/>
      <c r="B48" s="15" t="s">
        <v>24</v>
      </c>
      <c r="C48" s="1">
        <f>0.01/1.5</f>
        <v>6.6666666666666671E-3</v>
      </c>
      <c r="D48" s="1" t="s">
        <v>23</v>
      </c>
      <c r="E48" s="1">
        <v>1000</v>
      </c>
      <c r="F48" s="17">
        <f>E48*C48</f>
        <v>6.666666666666667</v>
      </c>
    </row>
    <row r="49" spans="1:6" x14ac:dyDescent="0.25">
      <c r="A49" s="5"/>
      <c r="B49" s="6" t="s">
        <v>7</v>
      </c>
      <c r="C49" s="7">
        <f>0.012/1.5</f>
        <v>8.0000000000000002E-3</v>
      </c>
      <c r="D49" s="7" t="s">
        <v>12</v>
      </c>
      <c r="E49" s="7">
        <v>35.97</v>
      </c>
      <c r="F49" s="8">
        <f>E49*C49</f>
        <v>0.28776000000000002</v>
      </c>
    </row>
    <row r="50" spans="1:6" x14ac:dyDescent="0.25">
      <c r="A50" s="5"/>
      <c r="B50" s="9"/>
      <c r="C50" s="10"/>
      <c r="D50" s="10" t="s">
        <v>13</v>
      </c>
      <c r="E50" s="10">
        <v>6.02</v>
      </c>
      <c r="F50" s="11">
        <f>E50*C49</f>
        <v>4.8159999999999994E-2</v>
      </c>
    </row>
    <row r="51" spans="1:6" x14ac:dyDescent="0.25">
      <c r="A51" s="5"/>
      <c r="B51" s="9"/>
      <c r="C51" s="10"/>
      <c r="D51" s="10" t="s">
        <v>14</v>
      </c>
      <c r="E51" s="10">
        <v>3.48</v>
      </c>
      <c r="F51" s="11">
        <f>E51*C49</f>
        <v>2.784E-2</v>
      </c>
    </row>
    <row r="52" spans="1:6" x14ac:dyDescent="0.25">
      <c r="A52" s="5"/>
      <c r="B52" s="9"/>
      <c r="C52" s="10"/>
      <c r="D52" s="10" t="s">
        <v>15</v>
      </c>
      <c r="E52" s="10">
        <v>1.18</v>
      </c>
      <c r="F52" s="11">
        <f>E52*C49</f>
        <v>9.4400000000000005E-3</v>
      </c>
    </row>
    <row r="53" spans="1:6" x14ac:dyDescent="0.25">
      <c r="A53" s="5"/>
      <c r="B53" s="9"/>
      <c r="C53" s="10"/>
      <c r="D53" s="10" t="s">
        <v>16</v>
      </c>
      <c r="E53" s="10">
        <v>0.04</v>
      </c>
      <c r="F53" s="11">
        <f>E53*C49</f>
        <v>3.2000000000000003E-4</v>
      </c>
    </row>
    <row r="54" spans="1:6" x14ac:dyDescent="0.25">
      <c r="A54" s="5"/>
      <c r="B54" s="9"/>
      <c r="C54" s="10"/>
      <c r="D54" s="10" t="s">
        <v>17</v>
      </c>
      <c r="E54" s="10">
        <v>0.18</v>
      </c>
      <c r="F54" s="11">
        <f>E54*C49</f>
        <v>1.4399999999999999E-3</v>
      </c>
    </row>
    <row r="55" spans="1:6" x14ac:dyDescent="0.25">
      <c r="A55" s="5"/>
      <c r="B55" s="12"/>
      <c r="C55" s="13"/>
      <c r="D55" s="13" t="s">
        <v>18</v>
      </c>
      <c r="E55" s="13">
        <v>3.4</v>
      </c>
      <c r="F55" s="14">
        <f>E55*C49</f>
        <v>2.7199999999999998E-2</v>
      </c>
    </row>
    <row r="56" spans="1:6" x14ac:dyDescent="0.25">
      <c r="A56" s="5"/>
      <c r="B56" s="10" t="s">
        <v>22</v>
      </c>
      <c r="C56" s="10"/>
      <c r="D56" s="18" t="s">
        <v>19</v>
      </c>
      <c r="E56" s="10"/>
      <c r="F56" s="11">
        <f>F49+F50+F51+F52+F54+F48</f>
        <v>7.0413066666666673</v>
      </c>
    </row>
    <row r="57" spans="1:6" x14ac:dyDescent="0.25">
      <c r="A57" s="5"/>
      <c r="B57" s="10"/>
      <c r="C57" s="10"/>
      <c r="D57" s="18" t="s">
        <v>20</v>
      </c>
      <c r="E57" s="10"/>
      <c r="F57" s="11">
        <f>F45+F46+2*F55</f>
        <v>120.76139999999999</v>
      </c>
    </row>
    <row r="58" spans="1:6" x14ac:dyDescent="0.25">
      <c r="A58" s="5"/>
      <c r="B58" s="10"/>
      <c r="C58" s="10"/>
      <c r="D58" s="18" t="s">
        <v>21</v>
      </c>
      <c r="E58" s="10"/>
      <c r="F58" s="11">
        <f>2*F43+F45+2*F53</f>
        <v>75.955639999999988</v>
      </c>
    </row>
    <row r="59" spans="1:6" x14ac:dyDescent="0.25">
      <c r="A59" s="5"/>
      <c r="B59" s="10"/>
      <c r="C59" s="10"/>
      <c r="D59" s="18" t="s">
        <v>25</v>
      </c>
      <c r="E59" s="10"/>
      <c r="F59" s="11">
        <f>F43+F44</f>
        <v>55.699999999999989</v>
      </c>
    </row>
    <row r="60" spans="1:6" x14ac:dyDescent="0.25">
      <c r="A60" s="5"/>
      <c r="B60" s="10"/>
      <c r="C60" s="10"/>
      <c r="D60" s="18" t="s">
        <v>32</v>
      </c>
      <c r="E60" s="10"/>
      <c r="F60" s="11">
        <f>F44</f>
        <v>21.999999999999996</v>
      </c>
    </row>
    <row r="61" spans="1:6" ht="15.75" thickBot="1" x14ac:dyDescent="0.3">
      <c r="A61" s="19"/>
      <c r="B61" s="20"/>
      <c r="C61" s="20"/>
      <c r="D61" s="21" t="s">
        <v>33</v>
      </c>
      <c r="E61" s="20"/>
      <c r="F61" s="22">
        <f>F43+2*F44</f>
        <v>77.699999999999989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Karlsen</dc:creator>
  <cp:lastModifiedBy>Emil Karlsen</cp:lastModifiedBy>
  <dcterms:created xsi:type="dcterms:W3CDTF">2015-06-05T18:19:34Z</dcterms:created>
  <dcterms:modified xsi:type="dcterms:W3CDTF">2021-09-21T14:46:38Z</dcterms:modified>
</cp:coreProperties>
</file>